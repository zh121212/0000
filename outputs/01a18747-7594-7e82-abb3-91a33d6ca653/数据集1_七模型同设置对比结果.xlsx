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ed8c83453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比汇总" sheetId="1" r:id="Re96357dc28974ae3"/>
    <x:sheet xmlns:r="http://schemas.openxmlformats.org/officeDocument/2006/relationships" name="五种子明细" sheetId="2" r:id="Rec63c9fe4361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000"/>
    <x:numFmt numFmtId="202" formatCode="0.00"/>
  </x:numFmts>
  <x:fonts count="7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sz val="11"/>
      <x:color rgb="FF536773"/>
      <x:name val="Arial"/>
    </x:font>
    <x:font>
      <x:b/>
      <x:sz val="11"/>
      <x:color rgb="FFFFFFFF"/>
      <x:name val="Arial"/>
    </x:font>
    <x:font>
      <x:sz val="11"/>
      <x:color rgb="FF697984"/>
      <x:name val="Arial"/>
    </x:font>
    <x:font>
      <x:b/>
      <x:sz val="11"/>
      <x:color rgb="FF172B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495D"/>
      </x:patternFill>
    </x:fill>
    <x:fill>
      <x:patternFill patternType="solid">
        <x:fgColor rgb="FFEDF3F6"/>
      </x:patternFill>
    </x:fill>
    <x:fill>
      <x:patternFill patternType="solid">
        <x:fgColor rgb="FFFFFFFF"/>
      </x:patternFill>
    </x:fill>
    <x:fill>
      <x:patternFill patternType="solid">
        <x:fgColor rgb="FFE7ECE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E7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5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5f80bc7554c92" /><Relationship Type="http://schemas.openxmlformats.org/officeDocument/2006/relationships/theme" Target="/xl/theme/theme1.xml" Id="R35b8d2042c2f4c0f" /><Relationship Type="http://schemas.openxmlformats.org/officeDocument/2006/relationships/sharedStrings" Target="/xl/sharedStrings.xml" Id="R2cfb1d3997c647dc" /><Relationship Type="http://schemas.openxmlformats.org/officeDocument/2006/relationships/worksheet" Target="/xl/worksheets/sheet1.xml" Id="Re96357dc28974ae3" /><Relationship Type="http://schemas.openxmlformats.org/officeDocument/2006/relationships/worksheet" Target="/xl/worksheets/sheet2.xml" Id="Rec63c9fe4361472b" /></Relationships>
</file>

<file path=xl/tables/table1.xml><?xml version="1.0" encoding="utf-8"?>
<x:table xmlns:x="http://schemas.openxmlformats.org/spreadsheetml/2006/main" id="1" name="SeedDetails" displayName="SeedDetails" ref="A5:N40" headerRowCount="1" totalsRowCount="0" totalsRowShown="0">
  <x:tableColumns count="14">
    <x:tableColumn id="1" name="模型"/>
    <x:tableColumn id="2" name="种子"/>
    <x:tableColumn id="3" name="学习率"/>
    <x:tableColumn id="4" name="验证MAE (m)"/>
    <x:tableColumn id="5" name="验证RMSE (m)"/>
    <x:tableColumn id="6" name="测试MAE (m)"/>
    <x:tableColumn id="7" name="测试MAPE (%)"/>
    <x:tableColumn id="8" name="测试RMSE (m)"/>
    <x:tableColumn id="9" name="测试技能分数"/>
    <x:tableColumn id="10" name="最优轮次"/>
    <x:tableColumn id="11" name="实际训练轮数"/>
    <x:tableColumn id="12" name="参数量"/>
    <x:tableColumn id="13" name="训练耗时 (s)"/>
    <x:tableColumn id="14" name="训练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27da6b03e44fcc" /></Relationships>
</file>

<file path=xl/worksheets/sheet1.xml><?xml version="1.0" encoding="utf-8"?>
<x:worksheet xmlns:x="http://schemas.openxmlformats.org/spreadsheetml/2006/main">
  <x:sheetPr>
    <x:tabColor rgb="FF26495D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数据集1基线模型对比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任务A：淇河（镇平）与十二里河历史，预测十二里河30分钟后的闸前水位。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4" t="str">
        <x:v>水位误差单位为m。均值与样本标准差分别列示。模型按测试RMSE均值排序。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4" t="str">
        <x:v>七模型各5个种子，共35组最终结果。粗体表示七模型中该项最优均值。</x:v>
      </x:c>
      <x:c r="B5" s="2"/>
      <x:c r="C5" s="2"/>
      <x:c r="D5" s="2"/>
      <x:c r="E5" s="2"/>
      <x:c r="F5" s="2"/>
      <x:c r="G5" s="2"/>
      <x:c r="H5" s="2"/>
      <x:c r="I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7" t="str">
        <x:v>模型</x:v>
      </x:c>
      <x:c r="B7" s="7" t="str">
        <x:v>统计</x:v>
      </x:c>
      <x:c r="C7" s="7" t="str">
        <x:v>验证RMSE (m)</x:v>
      </x:c>
      <x:c r="D7" s="7" t="str">
        <x:v>测试MAE (m)</x:v>
      </x:c>
      <x:c r="E7" s="7" t="str">
        <x:v>测试MAPE (%)</x:v>
      </x:c>
      <x:c r="F7" s="7" t="str">
        <x:v>测试RMSE (m)</x:v>
      </x:c>
      <x:c r="G7" s="7" t="str">
        <x:v>测试技能分数</x:v>
      </x:c>
      <x:c r="H7" s="7" t="str">
        <x:v>学习率</x:v>
      </x:c>
      <x:c r="I7" s="7" t="str">
        <x:v>种子数</x:v>
      </x:c>
    </x:row>
    <x:row r="8" ht="23" customHeight="1">
      <x:c r="A8" s="15" t="str">
        <x:v>TimeFilter</x:v>
      </x:c>
      <x:c r="B8" s="15" t="str">
        <x:v>均值</x:v>
      </x:c>
      <x:c r="C8" s="28" t="n">
        <x:f>AVERAGE('五种子明细'!E6:E10)</x:f>
        <x:v>0.007441937230676809</x:v>
      </x:c>
      <x:c r="D8" s="28" t="n">
        <x:f>AVERAGE('五种子明细'!F6:F10)</x:f>
        <x:v>0.0022249428707665298</x:v>
      </x:c>
      <x:c r="E8" s="28" t="n">
        <x:f>AVERAGE('五种子明细'!G6:G10)</x:f>
        <x:v>0.0015628299739950651</x:v>
      </x:c>
      <x:c r="F8" s="28" t="n">
        <x:f>AVERAGE('五种子明细'!H6:H10)</x:f>
        <x:v>0.003756322838541502</x:v>
      </x:c>
      <x:c r="G8" s="28" t="n">
        <x:f>AVERAGE('五种子明细'!I6:I10)</x:f>
        <x:v>0.022658184058767537</x:v>
      </x:c>
      <x:c r="H8" s="29" t="n">
        <x:v>0.0003</x:v>
      </x:c>
      <x:c r="I8" s="30" t="n">
        <x:v>5</x:v>
      </x:c>
    </x:row>
    <x:row r="9" ht="23" customHeight="1">
      <x:c r="A9" s="17" t="str"/>
      <x:c r="B9" s="17" t="str">
        <x:v>标准差</x:v>
      </x:c>
      <x:c r="C9" s="31" t="n">
        <x:f>_xlfn.STDEV.S('五种子明细'!E6:E10)</x:f>
        <x:v>0.00002738483073404796</x:v>
      </x:c>
      <x:c r="D9" s="31" t="n">
        <x:f>_xlfn.STDEV.S('五种子明细'!F6:F10)</x:f>
        <x:v>0.000005551990536083119</x:v>
      </x:c>
      <x:c r="E9" s="31" t="n">
        <x:f>_xlfn.STDEV.S('五种子明细'!G6:G10)</x:f>
        <x:v>0.000003901026074062564</x:v>
      </x:c>
      <x:c r="F9" s="31" t="n">
        <x:f>_xlfn.STDEV.S('五种子明细'!H6:H10)</x:f>
        <x:v>0.000004864401772015724</x:v>
      </x:c>
      <x:c r="G9" s="31" t="n">
        <x:f>_xlfn.STDEV.S('五种子明细'!I6:I10)</x:f>
        <x:v>0.0025309674059121844</x:v>
      </x:c>
      <x:c r="H9" s="32"/>
      <x:c r="I9" s="33"/>
    </x:row>
    <x:row r="10" ht="23" customHeight="1">
      <x:c r="A10" s="18" t="str">
        <x:v>iTransformer</x:v>
      </x:c>
      <x:c r="B10" s="18" t="str">
        <x:v>均值</x:v>
      </x:c>
      <x:c r="C10" s="34" t="n">
        <x:f>AVERAGE('五种子明细'!E11:E15)</x:f>
        <x:v>0.007112644987800549</x:v>
      </x:c>
      <x:c r="D10" s="34" t="n">
        <x:f>AVERAGE('五种子明细'!F11:F15)</x:f>
        <x:v>0.002331489411149523</x:v>
      </x:c>
      <x:c r="E10" s="34" t="n">
        <x:f>AVERAGE('五种子明细'!G11:G15)</x:f>
        <x:v>0.0016376627974795694</x:v>
      </x:c>
      <x:c r="F10" s="34" t="n">
        <x:f>AVERAGE('五种子明细'!H11:H15)</x:f>
        <x:v>0.003901560819506876</x:v>
      </x:c>
      <x:c r="G10" s="34" t="n">
        <x:f>AVERAGE('五种子明细'!I11:I15)</x:f>
        <x:v>-0.054400442058723984</x:v>
      </x:c>
      <x:c r="H10" s="35" t="n">
        <x:v>0.001</x:v>
      </x:c>
      <x:c r="I10" s="36" t="n">
        <x:v>5</x:v>
      </x:c>
    </x:row>
    <x:row r="11" ht="23" customHeight="1">
      <x:c r="A11" s="17" t="str"/>
      <x:c r="B11" s="17" t="str">
        <x:v>标准差</x:v>
      </x:c>
      <x:c r="C11" s="31" t="n">
        <x:f>_xlfn.STDEV.S('五种子明细'!E11:E15)</x:f>
        <x:v>0.00007074004703587935</x:v>
      </x:c>
      <x:c r="D11" s="31" t="n">
        <x:f>_xlfn.STDEV.S('五种子明细'!F11:F15)</x:f>
        <x:v>0.000007682891929670104</x:v>
      </x:c>
      <x:c r="E11" s="31" t="n">
        <x:f>_xlfn.STDEV.S('五种子明细'!G11:G15)</x:f>
        <x:v>0.000005401667992295704</x:v>
      </x:c>
      <x:c r="F11" s="31" t="n">
        <x:f>_xlfn.STDEV.S('五种子明细'!H11:H15)</x:f>
        <x:v>0.00001956894637619275</x:v>
      </x:c>
      <x:c r="G11" s="31" t="n">
        <x:f>_xlfn.STDEV.S('五种子明细'!I11:I15)</x:f>
        <x:v>0.010563835858458617</x:v>
      </x:c>
      <x:c r="H11" s="32"/>
      <x:c r="I11" s="33"/>
    </x:row>
    <x:row r="12" ht="23" customHeight="1">
      <x:c r="A12" s="15" t="str">
        <x:v>TimeXer</x:v>
      </x:c>
      <x:c r="B12" s="15" t="str">
        <x:v>均值</x:v>
      </x:c>
      <x:c r="C12" s="28" t="n">
        <x:f>AVERAGE('五种子明细'!E16:E20)</x:f>
        <x:v>0.007624425481429137</x:v>
      </x:c>
      <x:c r="D12" s="28" t="n">
        <x:f>AVERAGE('五种子明细'!F16:F20)</x:f>
        <x:v>0.0023120495706181314</x:v>
      </x:c>
      <x:c r="E12" s="28" t="n">
        <x:f>AVERAGE('五种子明细'!G16:G20)</x:f>
        <x:v>0.0016240154566644401</x:v>
      </x:c>
      <x:c r="F12" s="28" t="n">
        <x:f>AVERAGE('五种子明细'!H16:H20)</x:f>
        <x:v>0.0039039794358243273</x:v>
      </x:c>
      <x:c r="G12" s="28" t="n">
        <x:f>AVERAGE('五种子明细'!I16:I20)</x:f>
        <x:v>-0.055749898421470025</x:v>
      </x:c>
      <x:c r="H12" s="29" t="n">
        <x:v>0.0001</x:v>
      </x:c>
      <x:c r="I12" s="30" t="n">
        <x:v>5</x:v>
      </x:c>
    </x:row>
    <x:row r="13" ht="23" customHeight="1">
      <x:c r="A13" s="17" t="str"/>
      <x:c r="B13" s="17" t="str">
        <x:v>标准差</x:v>
      </x:c>
      <x:c r="C13" s="31" t="n">
        <x:f>_xlfn.STDEV.S('五种子明细'!E16:E20)</x:f>
        <x:v>0.00007525634396330345</x:v>
      </x:c>
      <x:c r="D13" s="31" t="n">
        <x:f>_xlfn.STDEV.S('五种子明细'!F16:F20)</x:f>
        <x:v>0.0000196142865621635</x:v>
      </x:c>
      <x:c r="E13" s="31" t="n">
        <x:f>_xlfn.STDEV.S('五种子明细'!G16:G20)</x:f>
        <x:v>0.000013778598126702583</x:v>
      </x:c>
      <x:c r="F13" s="31" t="n">
        <x:f>_xlfn.STDEV.S('五种子明细'!H16:H20)</x:f>
        <x:v>0.000033726519886608524</x:v>
      </x:c>
      <x:c r="G13" s="31" t="n">
        <x:f>_xlfn.STDEV.S('五种子明细'!I16:I20)</x:f>
        <x:v>0.018205986414457708</x:v>
      </x:c>
      <x:c r="H13" s="32"/>
      <x:c r="I13" s="33"/>
    </x:row>
    <x:row r="14" ht="23" customHeight="1">
      <x:c r="A14" s="18" t="str">
        <x:v>LSTM</x:v>
      </x:c>
      <x:c r="B14" s="18" t="str">
        <x:v>均值</x:v>
      </x:c>
      <x:c r="C14" s="34" t="n">
        <x:f>AVERAGE('五种子明细'!E21:E25)</x:f>
        <x:v>0.007829928564606842</x:v>
      </x:c>
      <x:c r="D14" s="34" t="n">
        <x:f>AVERAGE('五种子明细'!F21:F25)</x:f>
        <x:v>0.0036388720166752484</x:v>
      </x:c>
      <x:c r="E14" s="34" t="n">
        <x:f>AVERAGE('五种子明细'!G21:G25)</x:f>
        <x:v>0.0025563183294250204</x:v>
      </x:c>
      <x:c r="F14" s="34" t="n">
        <x:f>AVERAGE('五种子明细'!H21:H25)</x:f>
        <x:v>0.005593495674569933</x:v>
      </x:c>
      <x:c r="G14" s="34" t="n">
        <x:f>AVERAGE('五种子明细'!I21:I25)</x:f>
        <x:v>-1.1819035126873558</x:v>
      </x:c>
      <x:c r="H14" s="35" t="n">
        <x:v>0.001</x:v>
      </x:c>
      <x:c r="I14" s="36" t="n">
        <x:v>5</x:v>
      </x:c>
    </x:row>
    <x:row r="15" ht="23" customHeight="1">
      <x:c r="A15" s="17" t="str"/>
      <x:c r="B15" s="17" t="str">
        <x:v>标准差</x:v>
      </x:c>
      <x:c r="C15" s="31" t="n">
        <x:f>_xlfn.STDEV.S('五种子明细'!E21:E25)</x:f>
        <x:v>0.00020444746620411003</x:v>
      </x:c>
      <x:c r="D15" s="31" t="n">
        <x:f>_xlfn.STDEV.S('五种子明细'!F21:F25)</x:f>
        <x:v>0.0005180662950919892</x:v>
      </x:c>
      <x:c r="E15" s="31" t="n">
        <x:f>_xlfn.STDEV.S('五种子明细'!G21:G25)</x:f>
        <x:v>0.00036414058330358555</x:v>
      </x:c>
      <x:c r="F15" s="31" t="n">
        <x:f>_xlfn.STDEV.S('五种子明细'!H21:H25)</x:f>
        <x:v>0.000516190812856855</x:v>
      </x:c>
      <x:c r="G15" s="31" t="n">
        <x:f>_xlfn.STDEV.S('五种子明细'!I21:I25)</x:f>
        <x:v>0.4053943551221627</x:v>
      </x:c>
      <x:c r="H15" s="32"/>
      <x:c r="I15" s="33"/>
    </x:row>
    <x:row r="16" ht="23" customHeight="1">
      <x:c r="A16" s="15" t="str">
        <x:v>HPA</x:v>
      </x:c>
      <x:c r="B16" s="15" t="str">
        <x:v>均值</x:v>
      </x:c>
      <x:c r="C16" s="28" t="n">
        <x:f>AVERAGE('五种子明细'!E26:E30)</x:f>
        <x:v>0.008239794173425402</x:v>
      </x:c>
      <x:c r="D16" s="28" t="n">
        <x:f>AVERAGE('五种子明细'!F26:F30)</x:f>
        <x:v>0.006950595767231253</x:v>
      </x:c>
      <x:c r="E16" s="28" t="n">
        <x:f>AVERAGE('五种子明细'!G26:G30)</x:f>
        <x:v>0.004882851292520696</x:v>
      </x:c>
      <x:c r="F16" s="28" t="n">
        <x:f>AVERAGE('五种子明细'!H26:H30)</x:f>
        <x:v>0.009616948294322535</x:v>
      </x:c>
      <x:c r="G16" s="28" t="n">
        <x:f>AVERAGE('五种子明细'!I26:I30)</x:f>
        <x:v>-5.578834439268109</x:v>
      </x:c>
      <x:c r="H16" s="29" t="n">
        <x:v>0.001</x:v>
      </x:c>
      <x:c r="I16" s="30" t="n">
        <x:v>5</x:v>
      </x:c>
    </x:row>
    <x:row r="17" ht="23" customHeight="1">
      <x:c r="A17" s="17" t="str"/>
      <x:c r="B17" s="17" t="str">
        <x:v>标准差</x:v>
      </x:c>
      <x:c r="C17" s="31" t="n">
        <x:f>_xlfn.STDEV.S('五种子明细'!E26:E30)</x:f>
        <x:v>0.00018856165698194943</x:v>
      </x:c>
      <x:c r="D17" s="31" t="n">
        <x:f>_xlfn.STDEV.S('五种子明细'!F26:F30)</x:f>
        <x:v>0.0016241997441170837</x:v>
      </x:c>
      <x:c r="E17" s="31" t="n">
        <x:f>_xlfn.STDEV.S('五种子明细'!G26:G30)</x:f>
        <x:v>0.0011412956411265337</x:v>
      </x:c>
      <x:c r="F17" s="31" t="n">
        <x:f>_xlfn.STDEV.S('五种子明细'!H26:H30)</x:f>
        <x:v>0.001765498233570731</x:v>
      </x:c>
      <x:c r="G17" s="31" t="n">
        <x:f>_xlfn.STDEV.S('五种子明细'!I26:I30)</x:f>
        <x:v>2.3532343498454615</x:v>
      </x:c>
      <x:c r="H17" s="32"/>
      <x:c r="I17" s="33"/>
    </x:row>
    <x:row r="18" ht="23" customHeight="1">
      <x:c r="A18" s="18" t="str">
        <x:v>MLP</x:v>
      </x:c>
      <x:c r="B18" s="18" t="str">
        <x:v>均值</x:v>
      </x:c>
      <x:c r="C18" s="34" t="n">
        <x:f>AVERAGE('五种子明细'!E31:E35)</x:f>
        <x:v>0.008851964108870361</x:v>
      </x:c>
      <x:c r="D18" s="34" t="n">
        <x:f>AVERAGE('五种子明细'!F31:F35)</x:f>
        <x:v>0.005777864390367661</x:v>
      </x:c>
      <x:c r="E18" s="34" t="n">
        <x:f>AVERAGE('五种子明细'!G31:G35)</x:f>
        <x:v>0.004059100927082629</x:v>
      </x:c>
      <x:c r="F18" s="34" t="n">
        <x:f>AVERAGE('五种子明细'!H31:H35)</x:f>
        <x:v>0.009685787280236646</x:v>
      </x:c>
      <x:c r="G18" s="34" t="n">
        <x:f>AVERAGE('五种子明细'!I31:I35)</x:f>
        <x:v>-5.583517240535712</x:v>
      </x:c>
      <x:c r="H18" s="35" t="n">
        <x:v>0.0001</x:v>
      </x:c>
      <x:c r="I18" s="36" t="n">
        <x:v>5</x:v>
      </x:c>
    </x:row>
    <x:row r="19" ht="23" customHeight="1">
      <x:c r="A19" s="17" t="str"/>
      <x:c r="B19" s="17" t="str">
        <x:v>标准差</x:v>
      </x:c>
      <x:c r="C19" s="31" t="n">
        <x:f>_xlfn.STDEV.S('五种子明细'!E31:E35)</x:f>
        <x:v>0.0002914018325896962</x:v>
      </x:c>
      <x:c r="D19" s="31" t="n">
        <x:f>_xlfn.STDEV.S('五种子明细'!F31:F35)</x:f>
        <x:v>0.0007029872834276036</x:v>
      </x:c>
      <x:c r="E19" s="31" t="n">
        <x:f>_xlfn.STDEV.S('五种子明细'!G31:G35)</x:f>
        <x:v>0.0004943281606561071</x:v>
      </x:c>
      <x:c r="F19" s="31" t="n">
        <x:f>_xlfn.STDEV.S('五种子明细'!H31:H35)</x:f>
        <x:v>0.0012411751143889369</x:v>
      </x:c>
      <x:c r="G19" s="31" t="n">
        <x:f>_xlfn.STDEV.S('五种子明细'!I31:I35)</x:f>
        <x:v>1.6951323009849475</x:v>
      </x:c>
      <x:c r="H19" s="32"/>
      <x:c r="I19" s="33"/>
    </x:row>
    <x:row r="20" ht="23" customHeight="1">
      <x:c r="A20" s="15" t="str">
        <x:v>Informer</x:v>
      </x:c>
      <x:c r="B20" s="15" t="str">
        <x:v>均值</x:v>
      </x:c>
      <x:c r="C20" s="28" t="n">
        <x:f>AVERAGE('五种子明细'!E36:E40)</x:f>
        <x:v>0.011638704630881437</x:v>
      </x:c>
      <x:c r="D20" s="28" t="n">
        <x:f>AVERAGE('五种子明细'!F36:F40)</x:f>
        <x:v>0.009186855275322554</x:v>
      </x:c>
      <x:c r="E20" s="28" t="n">
        <x:f>AVERAGE('五种子明细'!G36:G40)</x:f>
        <x:v>0.0064543534174551056</x:v>
      </x:c>
      <x:c r="F20" s="28" t="n">
        <x:f>AVERAGE('五种子明细'!H36:H40)</x:f>
        <x:v>0.012962319282315607</x:v>
      </x:c>
      <x:c r="G20" s="28" t="n">
        <x:f>AVERAGE('五种子明细'!I36:I40)</x:f>
        <x:v>-10.903806751134852</x:v>
      </x:c>
      <x:c r="H20" s="29" t="n">
        <x:v>0.0003</x:v>
      </x:c>
      <x:c r="I20" s="30" t="n">
        <x:v>5</x:v>
      </x:c>
    </x:row>
    <x:row r="21" ht="23" customHeight="1">
      <x:c r="A21" s="17" t="str"/>
      <x:c r="B21" s="17" t="str">
        <x:v>标准差</x:v>
      </x:c>
      <x:c r="C21" s="31" t="n">
        <x:f>_xlfn.STDEV.S('五种子明细'!E36:E40)</x:f>
        <x:v>0.0004451813276042679</x:v>
      </x:c>
      <x:c r="D21" s="31" t="n">
        <x:f>_xlfn.STDEV.S('五种子明细'!F36:F40)</x:f>
        <x:v>0.0015408040689162082</x:v>
      </x:c>
      <x:c r="E21" s="31" t="n">
        <x:f>_xlfn.STDEV.S('五种子明细'!G36:G40)</x:f>
        <x:v>0.0010823569703938424</x:v>
      </x:c>
      <x:c r="F21" s="31" t="n">
        <x:f>_xlfn.STDEV.S('五种子明细'!H36:H40)</x:f>
        <x:v>0.002189380913214985</x:v>
      </x:c>
      <x:c r="G21" s="31" t="n">
        <x:f>_xlfn.STDEV.S('五种子明细'!I36:I40)</x:f>
        <x:v>3.80199717219237</x:v>
      </x:c>
      <x:c r="H21" s="32"/>
      <x:c r="I21" s="33"/>
    </x:row>
    <x:row r="22" ht="23" customHeight="1">
      <x:c r="A22" s="2"/>
      <x:c r="B22" s="2"/>
      <x:c r="C22" s="13"/>
      <x:c r="D22" s="13"/>
      <x:c r="E22" s="13"/>
      <x:c r="F22" s="13"/>
      <x:c r="G22" s="13"/>
      <x:c r="H22" s="12"/>
      <x:c r="I22" s="11"/>
    </x:row>
    <x:row r="23" ht="23" customHeight="1">
      <x:c r="A23" s="19" t="str">
        <x:v>保持不变预测</x:v>
      </x:c>
      <x:c r="B23" s="19" t="str">
        <x:v>参考</x:v>
      </x:c>
      <x:c r="C23" s="37" t="n">
        <x:v>0.0070797675264008</x:v>
      </x:c>
      <x:c r="D23" s="37" t="n">
        <x:v>0.00228364187130847</x:v>
      </x:c>
      <x:c r="E23" s="37" t="n">
        <x:v>0.001604067391839162</x:v>
      </x:c>
      <x:c r="F23" s="37" t="n">
        <x:v>0.003799618222325539</x:v>
      </x:c>
      <x:c r="G23" s="37" t="n">
        <x:v>0</x:v>
      </x:c>
      <x:c r="H23" s="38"/>
      <x:c r="I23" s="39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2" customHeight="1">
      <x:c r="A26" s="3" t="str">
        <x:v>共同实验设置</x:v>
      </x:c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40" t="str">
        <x:v>数据组</x:v>
      </x:c>
      <x:c r="B28" s="2" t="str">
        <x:v>数据集1，淇河（镇平）与十二里河，任务A</x:v>
      </x:c>
      <x:c r="C28" s="2"/>
      <x:c r="D28" s="2"/>
      <x:c r="E28" s="2"/>
      <x:c r="F28" s="2"/>
      <x:c r="G28" s="2"/>
      <x:c r="H28" s="2"/>
      <x:c r="I28" s="2"/>
    </x:row>
    <x:row r="29" ht="25" customHeight="1">
      <x:c r="A29" s="40" t="str">
        <x:v>预测对象</x:v>
      </x:c>
      <x:c r="B29" s="2" t="str">
        <x:v>十二里河30分钟后的闸前水位，单目标单步预测</x:v>
      </x:c>
      <x:c r="C29" s="2"/>
      <x:c r="D29" s="2"/>
      <x:c r="E29" s="2"/>
      <x:c r="F29" s="2"/>
      <x:c r="G29" s="2"/>
      <x:c r="H29" s="2"/>
      <x:c r="I29" s="2"/>
    </x:row>
    <x:row r="30" ht="25" customHeight="1">
      <x:c r="A30" s="40" t="str">
        <x:v>输入与输出</x:v>
      </x:c>
      <x:c r="B30" s="2" t="str">
        <x:v>12×17历史输入，输出1个水位值；不使用未来实测值</x:v>
      </x:c>
      <x:c r="C30" s="2"/>
      <x:c r="D30" s="2"/>
      <x:c r="E30" s="2"/>
      <x:c r="F30" s="2"/>
      <x:c r="G30" s="2"/>
      <x:c r="H30" s="2"/>
      <x:c r="I30" s="2"/>
    </x:row>
    <x:row r="31" ht="25" customHeight="1">
      <x:c r="A31" s="40" t="str">
        <x:v>时间划分</x:v>
      </x:c>
      <x:c r="B31" s="2" t="str">
        <x:v>按时间顺序70%训练、10%验证、20%测试</x:v>
      </x:c>
      <x:c r="C31" s="2"/>
      <x:c r="D31" s="2"/>
      <x:c r="E31" s="2"/>
      <x:c r="F31" s="2"/>
      <x:c r="G31" s="2"/>
      <x:c r="H31" s="2"/>
      <x:c r="I31" s="2"/>
    </x:row>
    <x:row r="32" ht="25" customHeight="1">
      <x:c r="A32" s="40" t="str">
        <x:v>标准化</x:v>
      </x:c>
      <x:c r="B32" s="2" t="str">
        <x:v>只用训练段拟合物理量均值和标准差，日历保持原编码</x:v>
      </x:c>
      <x:c r="C32" s="2"/>
      <x:c r="D32" s="2"/>
      <x:c r="E32" s="2"/>
      <x:c r="F32" s="2"/>
      <x:c r="G32" s="2"/>
      <x:c r="H32" s="2"/>
      <x:c r="I32" s="2"/>
    </x:row>
    <x:row r="33" ht="25" customHeight="1">
      <x:c r="A33" s="40" t="str">
        <x:v>样本数</x:v>
      </x:c>
      <x:c r="B33" s="2" t="str">
        <x:v>训练11,244，验证1,608，测试3,217</x:v>
      </x:c>
      <x:c r="C33" s="2"/>
      <x:c r="D33" s="2"/>
      <x:c r="E33" s="2"/>
      <x:c r="F33" s="2"/>
      <x:c r="G33" s="2"/>
      <x:c r="H33" s="2"/>
      <x:c r="I33" s="2"/>
    </x:row>
    <x:row r="34" ht="25" customHeight="1">
      <x:c r="A34" s="40" t="str">
        <x:v>训练标签时段</x:v>
      </x:c>
      <x:c r="B34" s="2" t="str">
        <x:v>2025-01-01 06:00至2025-08-23 11:30</x:v>
      </x:c>
      <x:c r="C34" s="2"/>
      <x:c r="D34" s="2"/>
      <x:c r="E34" s="2"/>
      <x:c r="F34" s="2"/>
      <x:c r="G34" s="2"/>
      <x:c r="H34" s="2"/>
      <x:c r="I34" s="2"/>
    </x:row>
    <x:row r="35" ht="25" customHeight="1">
      <x:c r="A35" s="40" t="str">
        <x:v>验证标签时段</x:v>
      </x:c>
      <x:c r="B35" s="2" t="str">
        <x:v>2025-08-23 12:00至2025-09-25 23:30</x:v>
      </x:c>
      <x:c r="C35" s="2"/>
      <x:c r="D35" s="2"/>
      <x:c r="E35" s="2"/>
      <x:c r="F35" s="2"/>
      <x:c r="G35" s="2"/>
      <x:c r="H35" s="2"/>
      <x:c r="I35" s="2"/>
    </x:row>
    <x:row r="36" ht="25" customHeight="1">
      <x:c r="A36" s="40" t="str">
        <x:v>测试标签时段</x:v>
      </x:c>
      <x:c r="B36" s="2" t="str">
        <x:v>2025-09-26 00:00至2025-12-02 00:00</x:v>
      </x:c>
      <x:c r="C36" s="2"/>
      <x:c r="D36" s="2"/>
      <x:c r="E36" s="2"/>
      <x:c r="F36" s="2"/>
      <x:c r="G36" s="2"/>
      <x:c r="H36" s="2"/>
      <x:c r="I36" s="2"/>
    </x:row>
    <x:row r="37" ht="25" customHeight="1">
      <x:c r="A37" s="40" t="str">
        <x:v>随机种子</x:v>
      </x:c>
      <x:c r="B37" s="2" t="str">
        <x:v>42、123、2024、2025、3407</x:v>
      </x:c>
      <x:c r="C37" s="2"/>
      <x:c r="D37" s="2"/>
      <x:c r="E37" s="2"/>
      <x:c r="F37" s="2"/>
      <x:c r="G37" s="2"/>
      <x:c r="H37" s="2"/>
      <x:c r="I37" s="2"/>
    </x:row>
    <x:row r="38" ht="25" customHeight="1">
      <x:c r="A38" s="40" t="str">
        <x:v>优化器</x:v>
      </x:c>
      <x:c r="B38" s="2" t="str">
        <x:v>Adam，weight_decay=0.0001</x:v>
      </x:c>
      <x:c r="C38" s="2"/>
      <x:c r="D38" s="2"/>
      <x:c r="E38" s="2"/>
      <x:c r="F38" s="2"/>
      <x:c r="G38" s="2"/>
      <x:c r="H38" s="2"/>
      <x:c r="I38" s="2"/>
    </x:row>
    <x:row r="39" ht="25" customHeight="1">
      <x:c r="A39" s="40" t="str">
        <x:v>训练参数</x:v>
      </x:c>
      <x:c r="B39" s="2" t="str">
        <x:v>batch size=64，dropout=0.1，梯度裁剪=5</x:v>
      </x:c>
      <x:c r="C39" s="2"/>
      <x:c r="D39" s="2"/>
      <x:c r="E39" s="2"/>
      <x:c r="F39" s="2"/>
      <x:c r="G39" s="2"/>
      <x:c r="H39" s="2"/>
      <x:c r="I39" s="2"/>
    </x:row>
    <x:row r="40" ht="25" customHeight="1">
      <x:c r="A40" s="40" t="str">
        <x:v>停止规则</x:v>
      </x:c>
      <x:c r="B40" s="2" t="str">
        <x:v>最多100轮，验证RMSE连续10轮未改善则早停</x:v>
      </x:c>
      <x:c r="C40" s="2"/>
      <x:c r="D40" s="2"/>
      <x:c r="E40" s="2"/>
      <x:c r="F40" s="2"/>
      <x:c r="G40" s="2"/>
      <x:c r="H40" s="2"/>
      <x:c r="I40" s="2"/>
    </x:row>
    <x:row r="41" ht="25" customHeight="1">
      <x:c r="A41" s="40" t="str">
        <x:v>学习率搜索</x:v>
      </x:c>
      <x:c r="B41" s="2" t="str">
        <x:v>种子42搜索0.0001、0.0003、0.001，验证RMSE选优后补齐其余4种子</x:v>
      </x:c>
      <x:c r="C41" s="2"/>
      <x:c r="D41" s="2"/>
      <x:c r="E41" s="2"/>
      <x:c r="F41" s="2"/>
      <x:c r="G41" s="2"/>
      <x:c r="H41" s="2"/>
      <x:c r="I41" s="2"/>
    </x:row>
    <x:row r="42" ht="25" customHeight="1">
      <x:c r="A42" s="40" t="str">
        <x:v>参数选择</x:v>
      </x:c>
      <x:c r="B42" s="2" t="str">
        <x:v>每个种子使用自身验证RMSE最低轮次的权重，不按测试成绩选择</x:v>
      </x:c>
      <x:c r="C42" s="2"/>
      <x:c r="D42" s="2"/>
      <x:c r="E42" s="2"/>
      <x:c r="F42" s="2"/>
      <x:c r="G42" s="2"/>
      <x:c r="H42" s="2"/>
      <x:c r="I42" s="2"/>
    </x:row>
    <x:row r="43" ht="25" customHeight="1">
      <x:c r="A43" s="40" t="str">
        <x:v>模型损失</x:v>
      </x:c>
      <x:c r="B43" s="2" t="str">
        <x:v>六模型为MSE；TimeFilter为MSE加0.05倍模型辅助损失</x:v>
      </x:c>
      <x:c r="C43" s="2"/>
      <x:c r="D43" s="2"/>
      <x:c r="E43" s="2"/>
      <x:c r="F43" s="2"/>
      <x:c r="G43" s="2"/>
      <x:c r="H43" s="2"/>
      <x:c r="I43" s="2"/>
    </x:row>
    <x:row r="44" ht="25" customHeight="1">
      <x:c r="A44" s="40" t="str">
        <x:v>HPA版本</x:v>
      </x:c>
      <x:c r="B44" s="2" t="str">
        <x:v>历史输入适配版，保留模型结构思想，不称原论文实验原样复现</x:v>
      </x:c>
      <x:c r="C44" s="2"/>
      <x:c r="D44" s="2"/>
      <x:c r="E44" s="2"/>
      <x:c r="F44" s="2"/>
      <x:c r="G44" s="2"/>
      <x:c r="H44" s="2"/>
      <x:c r="I44" s="2"/>
    </x:row>
    <x:row r="45" ht="25" customHeight="1">
      <x:c r="A45" s="40" t="str">
        <x:v>技能分数</x:v>
      </x:c>
      <x:c r="B45" s="2" t="str">
        <x:v>1－模型MSE／保持不变预测MSE；越大越好，正值优于参考</x:v>
      </x:c>
      <x:c r="C45" s="2"/>
      <x:c r="D45" s="2"/>
      <x:c r="E45" s="2"/>
      <x:c r="F45" s="2"/>
      <x:c r="G45" s="2"/>
      <x:c r="H45" s="2"/>
      <x:c r="I45" s="2"/>
    </x:row>
    <x:row r="46" ht="25" customHeight="1">
      <x:c r="A46" s="40" t="str">
        <x:v>比较范围</x:v>
      </x:c>
      <x:c r="B46" s="2" t="str">
        <x:v>原七模型基线。后续weight_decay=0的TimeXer改进结果未并入</x:v>
      </x:c>
      <x:c r="C46" s="2"/>
      <x:c r="D46" s="2"/>
      <x:c r="E46" s="2"/>
      <x:c r="F46" s="2"/>
      <x:c r="G46" s="2"/>
      <x:c r="H46" s="2"/>
      <x:c r="I46" s="2"/>
    </x:row>
    <x:row r="47" ht="25" customHeight="1">
      <x:c r="A47" s="40" t="str">
        <x:v>训练集误差</x:v>
      </x:c>
      <x:c r="B47" s="2" t="str">
        <x:v>训练日志保存标准化目标损失，不能与本表原始水位误差混称</x:v>
      </x:c>
      <x:c r="C47" s="2"/>
      <x:c r="D47" s="2"/>
      <x:c r="E47" s="2"/>
      <x:c r="F47" s="2"/>
      <x:c r="G47" s="2"/>
      <x:c r="H47" s="2"/>
      <x:c r="I47" s="2"/>
    </x:row>
    <x:row r="48" ht="25" customHeight="1">
      <x:c r="A48" s="40" t="str">
        <x:v>数据组命名</x:v>
      </x:c>
      <x:c r="B48" s="2" t="str">
        <x:v>当前源目录名为“数据集2”，本表“数据集1”沿用对话中的淇河组编号</x:v>
      </x:c>
      <x:c r="C48" s="2"/>
      <x:c r="D48" s="2"/>
      <x:c r="E48" s="2"/>
      <x:c r="F48" s="2"/>
      <x:c r="G48" s="2"/>
      <x:c r="H48" s="2"/>
      <x:c r="I48" s="2"/>
    </x:row>
    <x:row r="49" ht="25" customHeight="1">
      <x:c r="A49" s="40" t="str">
        <x:v>汇总精度</x:v>
      </x:c>
      <x:c r="B49" s="2" t="str">
        <x:v>由35组原始精度数值计算，显示9位小数，未采用已舍入的汇总CSV</x:v>
      </x:c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 t="str">
        <x:v>验证集最低均值为iTransformer，测试集最低均值为TimeFilter。</x:v>
      </x:c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 t="str">
        <x:v>只有TimeFilter的测试技能分数为正。不同时间段指标不能直接相减解释为改进。</x:v>
      </x:c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</x:sheetData>
  <x:conditionalFormatting sqref="C8:C8">
    <x:cfRule type="expression" dxfId="0" priority="1">
      <x:formula>C8=MIN($C$8,$C$10,$C$12,$C$14,$C$16,$C$18,$C$20)</x:formula>
    </x:cfRule>
  </x:conditionalFormatting>
  <x:conditionalFormatting sqref="C10:C10">
    <x:cfRule type="expression" dxfId="1" priority="2">
      <x:formula>C10=MIN($C$8,$C$10,$C$12,$C$14,$C$16,$C$18,$C$20)</x:formula>
    </x:cfRule>
  </x:conditionalFormatting>
  <x:conditionalFormatting sqref="C12:C12">
    <x:cfRule type="expression" dxfId="2" priority="3">
      <x:formula>C12=MIN($C$8,$C$10,$C$12,$C$14,$C$16,$C$18,$C$20)</x:formula>
    </x:cfRule>
  </x:conditionalFormatting>
  <x:conditionalFormatting sqref="C14:C14">
    <x:cfRule type="expression" dxfId="3" priority="4">
      <x:formula>C14=MIN($C$8,$C$10,$C$12,$C$14,$C$16,$C$18,$C$20)</x:formula>
    </x:cfRule>
  </x:conditionalFormatting>
  <x:conditionalFormatting sqref="C16:C16">
    <x:cfRule type="expression" dxfId="4" priority="5">
      <x:formula>C16=MIN($C$8,$C$10,$C$12,$C$14,$C$16,$C$18,$C$20)</x:formula>
    </x:cfRule>
  </x:conditionalFormatting>
  <x:conditionalFormatting sqref="C18:C18">
    <x:cfRule type="expression" dxfId="5" priority="6">
      <x:formula>C18=MIN($C$8,$C$10,$C$12,$C$14,$C$16,$C$18,$C$20)</x:formula>
    </x:cfRule>
  </x:conditionalFormatting>
  <x:conditionalFormatting sqref="C20:C20">
    <x:cfRule type="expression" dxfId="6" priority="7">
      <x:formula>C20=MIN($C$8,$C$10,$C$12,$C$14,$C$16,$C$18,$C$20)</x:formula>
    </x:cfRule>
  </x:conditionalFormatting>
  <x:conditionalFormatting sqref="D8:D8">
    <x:cfRule type="expression" dxfId="7" priority="8">
      <x:formula>D8=MIN($D$8,$D$10,$D$12,$D$14,$D$16,$D$18,$D$20)</x:formula>
    </x:cfRule>
  </x:conditionalFormatting>
  <x:conditionalFormatting sqref="D10:D10">
    <x:cfRule type="expression" dxfId="8" priority="9">
      <x:formula>D10=MIN($D$8,$D$10,$D$12,$D$14,$D$16,$D$18,$D$20)</x:formula>
    </x:cfRule>
  </x:conditionalFormatting>
  <x:conditionalFormatting sqref="D12:D12">
    <x:cfRule type="expression" dxfId="9" priority="10">
      <x:formula>D12=MIN($D$8,$D$10,$D$12,$D$14,$D$16,$D$18,$D$20)</x:formula>
    </x:cfRule>
  </x:conditionalFormatting>
  <x:conditionalFormatting sqref="D14:D14">
    <x:cfRule type="expression" dxfId="10" priority="11">
      <x:formula>D14=MIN($D$8,$D$10,$D$12,$D$14,$D$16,$D$18,$D$20)</x:formula>
    </x:cfRule>
  </x:conditionalFormatting>
  <x:conditionalFormatting sqref="D16:D16">
    <x:cfRule type="expression" dxfId="11" priority="12">
      <x:formula>D16=MIN($D$8,$D$10,$D$12,$D$14,$D$16,$D$18,$D$20)</x:formula>
    </x:cfRule>
  </x:conditionalFormatting>
  <x:conditionalFormatting sqref="D18:D18">
    <x:cfRule type="expression" dxfId="12" priority="13">
      <x:formula>D18=MIN($D$8,$D$10,$D$12,$D$14,$D$16,$D$18,$D$20)</x:formula>
    </x:cfRule>
  </x:conditionalFormatting>
  <x:conditionalFormatting sqref="D20:D20">
    <x:cfRule type="expression" dxfId="13" priority="14">
      <x:formula>D20=MIN($D$8,$D$10,$D$12,$D$14,$D$16,$D$18,$D$20)</x:formula>
    </x:cfRule>
  </x:conditionalFormatting>
  <x:conditionalFormatting sqref="E8:E8">
    <x:cfRule type="expression" dxfId="14" priority="15">
      <x:formula>E8=MIN($E$8,$E$10,$E$12,$E$14,$E$16,$E$18,$E$20)</x:formula>
    </x:cfRule>
  </x:conditionalFormatting>
  <x:conditionalFormatting sqref="E10:E10">
    <x:cfRule type="expression" dxfId="15" priority="16">
      <x:formula>E10=MIN($E$8,$E$10,$E$12,$E$14,$E$16,$E$18,$E$20)</x:formula>
    </x:cfRule>
  </x:conditionalFormatting>
  <x:conditionalFormatting sqref="E12:E12">
    <x:cfRule type="expression" dxfId="16" priority="17">
      <x:formula>E12=MIN($E$8,$E$10,$E$12,$E$14,$E$16,$E$18,$E$20)</x:formula>
    </x:cfRule>
  </x:conditionalFormatting>
  <x:conditionalFormatting sqref="E14:E14">
    <x:cfRule type="expression" dxfId="17" priority="18">
      <x:formula>E14=MIN($E$8,$E$10,$E$12,$E$14,$E$16,$E$18,$E$20)</x:formula>
    </x:cfRule>
  </x:conditionalFormatting>
  <x:conditionalFormatting sqref="E16:E16">
    <x:cfRule type="expression" dxfId="18" priority="19">
      <x:formula>E16=MIN($E$8,$E$10,$E$12,$E$14,$E$16,$E$18,$E$20)</x:formula>
    </x:cfRule>
  </x:conditionalFormatting>
  <x:conditionalFormatting sqref="E18:E18">
    <x:cfRule type="expression" dxfId="19" priority="20">
      <x:formula>E18=MIN($E$8,$E$10,$E$12,$E$14,$E$16,$E$18,$E$20)</x:formula>
    </x:cfRule>
  </x:conditionalFormatting>
  <x:conditionalFormatting sqref="E20:E20">
    <x:cfRule type="expression" dxfId="20" priority="21">
      <x:formula>E20=MIN($E$8,$E$10,$E$12,$E$14,$E$16,$E$18,$E$20)</x:formula>
    </x:cfRule>
  </x:conditionalFormatting>
  <x:conditionalFormatting sqref="F8:F8">
    <x:cfRule type="expression" dxfId="21" priority="22">
      <x:formula>F8=MIN($F$8,$F$10,$F$12,$F$14,$F$16,$F$18,$F$20)</x:formula>
    </x:cfRule>
  </x:conditionalFormatting>
  <x:conditionalFormatting sqref="F10:F10">
    <x:cfRule type="expression" dxfId="22" priority="23">
      <x:formula>F10=MIN($F$8,$F$10,$F$12,$F$14,$F$16,$F$18,$F$20)</x:formula>
    </x:cfRule>
  </x:conditionalFormatting>
  <x:conditionalFormatting sqref="F12:F12">
    <x:cfRule type="expression" dxfId="23" priority="24">
      <x:formula>F12=MIN($F$8,$F$10,$F$12,$F$14,$F$16,$F$18,$F$20)</x:formula>
    </x:cfRule>
  </x:conditionalFormatting>
  <x:conditionalFormatting sqref="F14:F14">
    <x:cfRule type="expression" dxfId="24" priority="25">
      <x:formula>F14=MIN($F$8,$F$10,$F$12,$F$14,$F$16,$F$18,$F$20)</x:formula>
    </x:cfRule>
  </x:conditionalFormatting>
  <x:conditionalFormatting sqref="F16:F16">
    <x:cfRule type="expression" dxfId="25" priority="26">
      <x:formula>F16=MIN($F$8,$F$10,$F$12,$F$14,$F$16,$F$18,$F$20)</x:formula>
    </x:cfRule>
  </x:conditionalFormatting>
  <x:conditionalFormatting sqref="F18:F18">
    <x:cfRule type="expression" dxfId="26" priority="27">
      <x:formula>F18=MIN($F$8,$F$10,$F$12,$F$14,$F$16,$F$18,$F$20)</x:formula>
    </x:cfRule>
  </x:conditionalFormatting>
  <x:conditionalFormatting sqref="F20:F20">
    <x:cfRule type="expression" dxfId="27" priority="28">
      <x:formula>F20=MIN($F$8,$F$10,$F$12,$F$14,$F$16,$F$18,$F$20)</x:formula>
    </x:cfRule>
  </x:conditionalFormatting>
  <x:conditionalFormatting sqref="G8:G8">
    <x:cfRule type="expression" dxfId="28" priority="29">
      <x:formula>G8=MAX($G$8,$G$10,$G$12,$G$14,$G$16,$G$18,$G$20)</x:formula>
    </x:cfRule>
  </x:conditionalFormatting>
  <x:conditionalFormatting sqref="G10:G10">
    <x:cfRule type="expression" dxfId="29" priority="30">
      <x:formula>G10=MAX($G$8,$G$10,$G$12,$G$14,$G$16,$G$18,$G$20)</x:formula>
    </x:cfRule>
  </x:conditionalFormatting>
  <x:conditionalFormatting sqref="G12:G12">
    <x:cfRule type="expression" dxfId="30" priority="31">
      <x:formula>G12=MAX($G$8,$G$10,$G$12,$G$14,$G$16,$G$18,$G$20)</x:formula>
    </x:cfRule>
  </x:conditionalFormatting>
  <x:conditionalFormatting sqref="G14:G14">
    <x:cfRule type="expression" dxfId="31" priority="32">
      <x:formula>G14=MAX($G$8,$G$10,$G$12,$G$14,$G$16,$G$18,$G$20)</x:formula>
    </x:cfRule>
  </x:conditionalFormatting>
  <x:conditionalFormatting sqref="G16:G16">
    <x:cfRule type="expression" dxfId="32" priority="33">
      <x:formula>G16=MAX($G$8,$G$10,$G$12,$G$14,$G$16,$G$18,$G$20)</x:formula>
    </x:cfRule>
  </x:conditionalFormatting>
  <x:conditionalFormatting sqref="G18:G18">
    <x:cfRule type="expression" dxfId="33" priority="34">
      <x:formula>G18=MAX($G$8,$G$10,$G$12,$G$14,$G$16,$G$18,$G$20)</x:formula>
    </x:cfRule>
  </x:conditionalFormatting>
  <x:conditionalFormatting sqref="G20:G20">
    <x:cfRule type="expression" dxfId="34" priority="35">
      <x:formula>G20=MAX($G$8,$G$10,$G$12,$G$14,$G$16,$G$18,$G$20)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  <x:col min="13" max="13" width="19" hidden="0" customWidth="1"/>
    <x:col min="14" max="14" width="19" hidden="0" customWidth="1"/>
  </x:cols>
  <x:sheetData>
    <x:row r="1" ht="23" customHeight="1">
      <x:c r="A1" s="2" t="str">
        <x:v>来源：原基线all_seed_metrics.csv及各运行目录中的result.json、epochs.csv和test_metrics.json。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 t="str">
        <x:v>数值保留源记录精度。验证指标取各次训练验证RMSE最低轮次，测试指标来自该轮权重。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源工程：E:/小论文/HPA/TimeXer_TaskA_Cloud；原结果统一指纹：2d34defc0b28df2ab3d8fc51a02aa0812951d89a01cb0b1693ee6575e820e1a1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7" t="str">
        <x:v>模型</x:v>
      </x:c>
      <x:c r="B5" s="7" t="str">
        <x:v>种子</x:v>
      </x:c>
      <x:c r="C5" s="7" t="str">
        <x:v>学习率</x:v>
      </x:c>
      <x:c r="D5" s="7" t="str">
        <x:v>验证MAE (m)</x:v>
      </x:c>
      <x:c r="E5" s="7" t="str">
        <x:v>验证RMSE (m)</x:v>
      </x:c>
      <x:c r="F5" s="7" t="str">
        <x:v>测试MAE (m)</x:v>
      </x:c>
      <x:c r="G5" s="7" t="str">
        <x:v>测试MAPE (%)</x:v>
      </x:c>
      <x:c r="H5" s="7" t="str">
        <x:v>测试RMSE (m)</x:v>
      </x:c>
      <x:c r="I5" s="7" t="str">
        <x:v>测试技能分数</x:v>
      </x:c>
      <x:c r="J5" s="7" t="str">
        <x:v>最优轮次</x:v>
      </x:c>
      <x:c r="K5" s="7" t="str">
        <x:v>实际训练轮数</x:v>
      </x:c>
      <x:c r="L5" s="7" t="str">
        <x:v>参数量</x:v>
      </x:c>
      <x:c r="M5" s="7" t="str">
        <x:v>训练耗时 (s)</x:v>
      </x:c>
      <x:c r="N5" s="7" t="str">
        <x:v>训练状态</x:v>
      </x:c>
    </x:row>
    <x:row r="6" ht="23" customHeight="1">
      <x:c r="A6" s="2" t="str">
        <x:v>TimeFilter</x:v>
      </x:c>
      <x:c r="B6" s="11" t="n">
        <x:v>42</x:v>
      </x:c>
      <x:c r="C6" s="12" t="n">
        <x:v>0.0003</x:v>
      </x:c>
      <x:c r="D6" s="13" t="n">
        <x:v>0.0030879063686317155</x:v>
      </x:c>
      <x:c r="E6" s="13" t="n">
        <x:v>0.007427466030718714</x:v>
      </x:c>
      <x:c r="F6" s="13" t="n">
        <x:v>0.0022219069732568528</x:v>
      </x:c>
      <x:c r="G6" s="13" t="n">
        <x:v>0.0015606986988252333</x:v>
      </x:c>
      <x:c r="H6" s="13" t="n">
        <x:v>0.0037576207765662923</x:v>
      </x:c>
      <x:c r="I6" s="13" t="n">
        <x:v>0.02198396942213643</x:v>
      </x:c>
      <x:c r="J6" s="11" t="n">
        <x:v>8</x:v>
      </x:c>
      <x:c r="K6" s="11" t="n">
        <x:v>18</x:v>
      </x:c>
      <x:c r="L6" s="11" t="n">
        <x:v>44401</x:v>
      </x:c>
      <x:c r="M6" s="14" t="n">
        <x:v>162.3035770780407</x:v>
      </x:c>
      <x:c r="N6" s="2" t="str">
        <x:v>已完成</x:v>
      </x:c>
    </x:row>
    <x:row r="7" ht="23" customHeight="1">
      <x:c r="A7" s="2" t="str">
        <x:v>TimeFilter</x:v>
      </x:c>
      <x:c r="B7" s="11" t="n">
        <x:v>123</x:v>
      </x:c>
      <x:c r="C7" s="12" t="n">
        <x:v>0.0003</x:v>
      </x:c>
      <x:c r="D7" s="13" t="n">
        <x:v>0.00308672703482107</x:v>
      </x:c>
      <x:c r="E7" s="13" t="n">
        <x:v>0.007445914301373961</x:v>
      </x:c>
      <x:c r="F7" s="13" t="n">
        <x:v>0.0022258356974862066</x:v>
      </x:c>
      <x:c r="G7" s="13" t="n">
        <x:v>0.0015634539076128046</x:v>
      </x:c>
      <x:c r="H7" s="13" t="n">
        <x:v>0.003761237488677455</x:v>
      </x:c>
      <x:c r="I7" s="13" t="n">
        <x:v>0.02010038142175452</x:v>
      </x:c>
      <x:c r="J7" s="11" t="n">
        <x:v>12</x:v>
      </x:c>
      <x:c r="K7" s="11" t="n">
        <x:v>22</x:v>
      </x:c>
      <x:c r="L7" s="11" t="n">
        <x:v>44401</x:v>
      </x:c>
      <x:c r="M7" s="14" t="n">
        <x:v>315.6501517901197</x:v>
      </x:c>
      <x:c r="N7" s="2" t="str">
        <x:v>已完成</x:v>
      </x:c>
    </x:row>
    <x:row r="8" ht="23" customHeight="1">
      <x:c r="A8" s="2" t="str">
        <x:v>TimeFilter</x:v>
      </x:c>
      <x:c r="B8" s="11" t="n">
        <x:v>2024</x:v>
      </x:c>
      <x:c r="C8" s="12" t="n">
        <x:v>0.0003</x:v>
      </x:c>
      <x:c r="D8" s="13" t="n">
        <x:v>0.003103790101818968</x:v>
      </x:c>
      <x:c r="E8" s="13" t="n">
        <x:v>0.0074857576477439566</x:v>
      </x:c>
      <x:c r="F8" s="13" t="n">
        <x:v>0.0022306277713988556</x:v>
      </x:c>
      <x:c r="G8" s="13" t="n">
        <x:v>0.0015668263021156755</x:v>
      </x:c>
      <x:c r="H8" s="13" t="n">
        <x:v>0.003760323030848314</x:v>
      </x:c>
      <x:c r="I8" s="13" t="n">
        <x:v>0.020576803317741366</x:v>
      </x:c>
      <x:c r="J8" s="11" t="n">
        <x:v>7</x:v>
      </x:c>
      <x:c r="K8" s="11" t="n">
        <x:v>17</x:v>
      </x:c>
      <x:c r="L8" s="11" t="n">
        <x:v>44401</x:v>
      </x:c>
      <x:c r="M8" s="14" t="n">
        <x:v>253.43668762291782</x:v>
      </x:c>
      <x:c r="N8" s="2" t="str">
        <x:v>已完成</x:v>
      </x:c>
    </x:row>
    <x:row r="9" ht="23" customHeight="1">
      <x:c r="A9" s="2" t="str">
        <x:v>TimeFilter</x:v>
      </x:c>
      <x:c r="B9" s="11" t="n">
        <x:v>2025</x:v>
      </x:c>
      <x:c r="C9" s="12" t="n">
        <x:v>0.0003</x:v>
      </x:c>
      <x:c r="D9" s="13" t="n">
        <x:v>0.0030939822451324724</x:v>
      </x:c>
      <x:c r="E9" s="13" t="n">
        <x:v>0.007437499744554841</x:v>
      </x:c>
      <x:c r="F9" s="13" t="n">
        <x:v>0.0022170607281497656</x:v>
      </x:c>
      <x:c r="G9" s="13" t="n">
        <x:v>0.0015572917512598236</x:v>
      </x:c>
      <x:c r="H9" s="13" t="n">
        <x:v>0.0037517905599661473</x:v>
      </x:c>
      <x:c r="I9" s="13" t="n">
        <x:v>0.025016538204629235</x:v>
      </x:c>
      <x:c r="J9" s="11" t="n">
        <x:v>9</x:v>
      </x:c>
      <x:c r="K9" s="11" t="n">
        <x:v>19</x:v>
      </x:c>
      <x:c r="L9" s="11" t="n">
        <x:v>44401</x:v>
      </x:c>
      <x:c r="M9" s="14" t="n">
        <x:v>271.8150807619095</x:v>
      </x:c>
      <x:c r="N9" s="2" t="str">
        <x:v>已完成</x:v>
      </x:c>
    </x:row>
    <x:row r="10" ht="23" customHeight="1">
      <x:c r="A10" s="2" t="str">
        <x:v>TimeFilter</x:v>
      </x:c>
      <x:c r="B10" s="11" t="n">
        <x:v>3407</x:v>
      </x:c>
      <x:c r="C10" s="12" t="n">
        <x:v>0.0003</x:v>
      </x:c>
      <x:c r="D10" s="13" t="n">
        <x:v>0.0030746752981606986</x:v>
      </x:c>
      <x:c r="E10" s="13" t="n">
        <x:v>0.0074130484289925734</x:v>
      </x:c>
      <x:c r="F10" s="13" t="n">
        <x:v>0.0022292831835409696</x:v>
      </x:c>
      <x:c r="G10" s="13" t="n">
        <x:v>0.0015658792101617878</x:v>
      </x:c>
      <x:c r="H10" s="13" t="n">
        <x:v>0.003750642336649306</x:v>
      </x:c>
      <x:c r="I10" s="13" t="n">
        <x:v>0.025613227927576143</x:v>
      </x:c>
      <x:c r="J10" s="11" t="n">
        <x:v>7</x:v>
      </x:c>
      <x:c r="K10" s="11" t="n">
        <x:v>17</x:v>
      </x:c>
      <x:c r="L10" s="11" t="n">
        <x:v>44401</x:v>
      </x:c>
      <x:c r="M10" s="14" t="n">
        <x:v>253.31741925817914</x:v>
      </x:c>
      <x:c r="N10" s="2" t="str">
        <x:v>已完成</x:v>
      </x:c>
    </x:row>
    <x:row r="11" ht="23" customHeight="1">
      <x:c r="A11" s="2" t="str">
        <x:v>iTransformer</x:v>
      </x:c>
      <x:c r="B11" s="11" t="n">
        <x:v>42</x:v>
      </x:c>
      <x:c r="C11" s="12" t="n">
        <x:v>0.001</x:v>
      </x:c>
      <x:c r="D11" s="13" t="n">
        <x:v>0.0031491544213086246</x:v>
      </x:c>
      <x:c r="E11" s="13" t="n">
        <x:v>0.007061088790465543</x:v>
      </x:c>
      <x:c r="F11" s="13" t="n">
        <x:v>0.0023415746765089963</x:v>
      </x:c>
      <x:c r="G11" s="13" t="n">
        <x:v>0.0016447587022030787</x:v>
      </x:c>
      <x:c r="H11" s="13" t="n">
        <x:v>0.00391087308172045</x:v>
      </x:c>
      <x:c r="I11" s="13" t="n">
        <x:v>-0.05941842246559381</x:v>
      </x:c>
      <x:c r="J11" s="11" t="n">
        <x:v>11</x:v>
      </x:c>
      <x:c r="K11" s="11" t="n">
        <x:v>21</x:v>
      </x:c>
      <x:c r="L11" s="11" t="n">
        <x:v>67969</x:v>
      </x:c>
      <x:c r="M11" s="14" t="n">
        <x:v>108.016675516963</x:v>
      </x:c>
      <x:c r="N11" s="2" t="str">
        <x:v>已完成</x:v>
      </x:c>
    </x:row>
    <x:row r="12" ht="23" customHeight="1">
      <x:c r="A12" s="2" t="str">
        <x:v>iTransformer</x:v>
      </x:c>
      <x:c r="B12" s="11" t="n">
        <x:v>123</x:v>
      </x:c>
      <x:c r="C12" s="12" t="n">
        <x:v>0.001</x:v>
      </x:c>
      <x:c r="D12" s="13" t="n">
        <x:v>0.0030979922976067504</x:v>
      </x:c>
      <x:c r="E12" s="13" t="n">
        <x:v>0.007170871795249645</x:v>
      </x:c>
      <x:c r="F12" s="13" t="n">
        <x:v>0.0023325083657293596</x:v>
      </x:c>
      <x:c r="G12" s="13" t="n">
        <x:v>0.0016383757929855317</x:v>
      </x:c>
      <x:c r="H12" s="13" t="n">
        <x:v>0.0038900682045225478</x:v>
      </x:c>
      <x:c r="I12" s="13" t="n">
        <x:v>-0.048176715971322226</x:v>
      </x:c>
      <x:c r="J12" s="11" t="n">
        <x:v>11</x:v>
      </x:c>
      <x:c r="K12" s="11" t="n">
        <x:v>21</x:v>
      </x:c>
      <x:c r="L12" s="11" t="n">
        <x:v>67969</x:v>
      </x:c>
      <x:c r="M12" s="14" t="n">
        <x:v>114.75086895306595</x:v>
      </x:c>
      <x:c r="N12" s="2" t="str">
        <x:v>已完成</x:v>
      </x:c>
    </x:row>
    <x:row r="13" ht="23" customHeight="1">
      <x:c r="A13" s="2" t="str">
        <x:v>iTransformer</x:v>
      </x:c>
      <x:c r="B13" s="11" t="n">
        <x:v>2024</x:v>
      </x:c>
      <x:c r="C13" s="12" t="n">
        <x:v>0.001</x:v>
      </x:c>
      <x:c r="D13" s="13" t="n">
        <x:v>0.0031100963262048536</x:v>
      </x:c>
      <x:c r="E13" s="13" t="n">
        <x:v>0.007024071720967497</x:v>
      </x:c>
      <x:c r="F13" s="13" t="n">
        <x:v>0.002334156638541564</x:v>
      </x:c>
      <x:c r="G13" s="13" t="n">
        <x:v>0.0016395306877219195</x:v>
      </x:c>
      <x:c r="H13" s="13" t="n">
        <x:v>0.003921239148524249</x:v>
      </x:c>
      <x:c r="I13" s="13" t="n">
        <x:v>-0.06504200381277192</x:v>
      </x:c>
      <x:c r="J13" s="11" t="n">
        <x:v>7</x:v>
      </x:c>
      <x:c r="K13" s="11" t="n">
        <x:v>17</x:v>
      </x:c>
      <x:c r="L13" s="11" t="n">
        <x:v>67969</x:v>
      </x:c>
      <x:c r="M13" s="14" t="n">
        <x:v>94.11176785617135</x:v>
      </x:c>
      <x:c r="N13" s="2" t="str">
        <x:v>已完成</x:v>
      </x:c>
    </x:row>
    <x:row r="14" ht="23" customHeight="1">
      <x:c r="A14" s="2" t="str">
        <x:v>iTransformer</x:v>
      </x:c>
      <x:c r="B14" s="11" t="n">
        <x:v>2025</x:v>
      </x:c>
      <x:c r="C14" s="12" t="n">
        <x:v>0.001</x:v>
      </x:c>
      <x:c r="D14" s="13" t="n">
        <x:v>0.003127081910760629</x:v>
      </x:c>
      <x:c r="E14" s="13" t="n">
        <x:v>0.0071908049726992175</x:v>
      </x:c>
      <x:c r="F14" s="13" t="n">
        <x:v>0.0023206403564956343</x:v>
      </x:c>
      <x:c r="G14" s="13" t="n">
        <x:v>0.0016300366889258943</x:v>
      </x:c>
      <x:c r="H14" s="13" t="n">
        <x:v>0.003912466983419423</x:v>
      </x:c>
      <x:c r="I14" s="13" t="n">
        <x:v>-0.060282144141004856</x:v>
      </x:c>
      <x:c r="J14" s="11" t="n">
        <x:v>6</x:v>
      </x:c>
      <x:c r="K14" s="11" t="n">
        <x:v>16</x:v>
      </x:c>
      <x:c r="L14" s="11" t="n">
        <x:v>67969</x:v>
      </x:c>
      <x:c r="M14" s="14" t="n">
        <x:v>88.71585781103931</x:v>
      </x:c>
      <x:c r="N14" s="2" t="str">
        <x:v>已完成</x:v>
      </x:c>
    </x:row>
    <x:row r="15" ht="23" customHeight="1">
      <x:c r="A15" s="2" t="str">
        <x:v>iTransformer</x:v>
      </x:c>
      <x:c r="B15" s="11" t="n">
        <x:v>3407</x:v>
      </x:c>
      <x:c r="C15" s="12" t="n">
        <x:v>0.001</x:v>
      </x:c>
      <x:c r="D15" s="13" t="n">
        <x:v>0.003105935293410791</x:v>
      </x:c>
      <x:c r="E15" s="13" t="n">
        <x:v>0.007116387659620841</x:v>
      </x:c>
      <x:c r="F15" s="13" t="n">
        <x:v>0.0023285670184720613</x:v>
      </x:c>
      <x:c r="G15" s="13" t="n">
        <x:v>0.0016356121155614214</x:v>
      </x:c>
      <x:c r="H15" s="13" t="n">
        <x:v>0.0038731566793477105</x:v>
      </x:c>
      <x:c r="I15" s="13" t="n">
        <x:v>-0.039082923902927114</x:v>
      </x:c>
      <x:c r="J15" s="11" t="n">
        <x:v>17</x:v>
      </x:c>
      <x:c r="K15" s="11" t="n">
        <x:v>27</x:v>
      </x:c>
      <x:c r="L15" s="11" t="n">
        <x:v>67969</x:v>
      </x:c>
      <x:c r="M15" s="14" t="n">
        <x:v>137.7090994499158</x:v>
      </x:c>
      <x:c r="N15" s="2" t="str">
        <x:v>已完成</x:v>
      </x:c>
    </x:row>
    <x:row r="16" ht="23" customHeight="1">
      <x:c r="A16" s="2" t="str">
        <x:v>TimeXer</x:v>
      </x:c>
      <x:c r="B16" s="11" t="n">
        <x:v>42</x:v>
      </x:c>
      <x:c r="C16" s="12" t="n">
        <x:v>0.0001</x:v>
      </x:c>
      <x:c r="D16" s="13" t="n">
        <x:v>0.003235823083338748</x:v>
      </x:c>
      <x:c r="E16" s="13" t="n">
        <x:v>0.00761127776193314</x:v>
      </x:c>
      <x:c r="F16" s="13" t="n">
        <x:v>0.002307085652602735</x:v>
      </x:c>
      <x:c r="G16" s="13" t="n">
        <x:v>0.0016205292488519613</x:v>
      </x:c>
      <x:c r="H16" s="13" t="n">
        <x:v>0.0039022646688395522</x:v>
      </x:c>
      <x:c r="I16" s="13" t="n">
        <x:v>-0.0547596806123587</x:v>
      </x:c>
      <x:c r="J16" s="11" t="n">
        <x:v>21</x:v>
      </x:c>
      <x:c r="K16" s="11" t="n">
        <x:v>31</x:v>
      </x:c>
      <x:c r="L16" s="11" t="n">
        <x:v>102017</x:v>
      </x:c>
      <x:c r="M16" s="14" t="n">
        <x:v>219.34680250985548</x:v>
      </x:c>
      <x:c r="N16" s="2" t="str">
        <x:v>已完成</x:v>
      </x:c>
    </x:row>
    <x:row r="17" ht="23" customHeight="1">
      <x:c r="A17" s="2" t="str">
        <x:v>TimeXer</x:v>
      </x:c>
      <x:c r="B17" s="11" t="n">
        <x:v>123</x:v>
      </x:c>
      <x:c r="C17" s="12" t="n">
        <x:v>0.0001</x:v>
      </x:c>
      <x:c r="D17" s="13" t="n">
        <x:v>0.003273919326327455</x:v>
      </x:c>
      <x:c r="E17" s="13" t="n">
        <x:v>0.007727324958156339</x:v>
      </x:c>
      <x:c r="F17" s="13" t="n">
        <x:v>0.0023335288683528637</x:v>
      </x:c>
      <x:c r="G17" s="13" t="n">
        <x:v>0.001639102832215419</x:v>
      </x:c>
      <x:c r="H17" s="13" t="n">
        <x:v>0.003945546167347357</x:v>
      </x:c>
      <x:c r="I17" s="13" t="n">
        <x:v>-0.07828691565960177</x:v>
      </x:c>
      <x:c r="J17" s="11" t="n">
        <x:v>26</x:v>
      </x:c>
      <x:c r="K17" s="11" t="n">
        <x:v>36</x:v>
      </x:c>
      <x:c r="L17" s="11" t="n">
        <x:v>102017</x:v>
      </x:c>
      <x:c r="M17" s="14" t="n">
        <x:v>272.96488609793596</x:v>
      </x:c>
      <x:c r="N17" s="2" t="str">
        <x:v>已完成</x:v>
      </x:c>
    </x:row>
    <x:row r="18" ht="23" customHeight="1">
      <x:c r="A18" s="2" t="str">
        <x:v>TimeXer</x:v>
      </x:c>
      <x:c r="B18" s="11" t="n">
        <x:v>2024</x:v>
      </x:c>
      <x:c r="C18" s="12" t="n">
        <x:v>0.0001</x:v>
      </x:c>
      <x:c r="D18" s="13" t="n">
        <x:v>0.0031867755785850646</x:v>
      </x:c>
      <x:c r="E18" s="13" t="n">
        <x:v>0.0076561982498075795</x:v>
      </x:c>
      <x:c r="F18" s="13" t="n">
        <x:v>0.002304409112041595</x:v>
      </x:c>
      <x:c r="G18" s="13" t="n">
        <x:v>0.0016186421601301914</x:v>
      </x:c>
      <x:c r="H18" s="13" t="n">
        <x:v>0.0039050669821733782</x:v>
      </x:c>
      <x:c r="I18" s="13" t="n">
        <x:v>-0.056275122886441764</x:v>
      </x:c>
      <x:c r="J18" s="11" t="n">
        <x:v>17</x:v>
      </x:c>
      <x:c r="K18" s="11" t="n">
        <x:v>27</x:v>
      </x:c>
      <x:c r="L18" s="11" t="n">
        <x:v>102017</x:v>
      </x:c>
      <x:c r="M18" s="14" t="n">
        <x:v>204.97457327786833</x:v>
      </x:c>
      <x:c r="N18" s="2" t="str">
        <x:v>已完成</x:v>
      </x:c>
    </x:row>
    <x:row r="19" ht="23" customHeight="1">
      <x:c r="A19" s="2" t="str">
        <x:v>TimeXer</x:v>
      </x:c>
      <x:c r="B19" s="11" t="n">
        <x:v>2025</x:v>
      </x:c>
      <x:c r="C19" s="12" t="n">
        <x:v>0.0001</x:v>
      </x:c>
      <x:c r="D19" s="13" t="n">
        <x:v>0.0031668602244662738</x:v>
      </x:c>
      <x:c r="E19" s="13" t="n">
        <x:v>0.007521834458091281</x:v>
      </x:c>
      <x:c r="F19" s="13" t="n">
        <x:v>0.0022857589464745556</x:v>
      </x:c>
      <x:c r="G19" s="13" t="n">
        <x:v>0.0016055497945485428</x:v>
      </x:c>
      <x:c r="H19" s="13" t="n">
        <x:v>0.003852045617972744</x:v>
      </x:c>
      <x:c r="I19" s="13" t="n">
        <x:v>-0.027786525370845583</x:v>
      </x:c>
      <x:c r="J19" s="11" t="n">
        <x:v>13</x:v>
      </x:c>
      <x:c r="K19" s="11" t="n">
        <x:v>23</x:v>
      </x:c>
      <x:c r="L19" s="11" t="n">
        <x:v>102017</x:v>
      </x:c>
      <x:c r="M19" s="14" t="n">
        <x:v>176.67360072699375</x:v>
      </x:c>
      <x:c r="N19" s="2" t="str">
        <x:v>已完成</x:v>
      </x:c>
    </x:row>
    <x:row r="20" ht="23" customHeight="1">
      <x:c r="A20" s="2" t="str">
        <x:v>TimeXer</x:v>
      </x:c>
      <x:c r="B20" s="11" t="n">
        <x:v>3407</x:v>
      </x:c>
      <x:c r="C20" s="12" t="n">
        <x:v>0.0001</x:v>
      </x:c>
      <x:c r="D20" s="13" t="n">
        <x:v>0.003241747202351248</x:v>
      </x:c>
      <x:c r="E20" s="13" t="n">
        <x:v>0.007605491979157341</x:v>
      </x:c>
      <x:c r="F20" s="13" t="n">
        <x:v>0.0023294652736189085</x:v>
      </x:c>
      <x:c r="G20" s="13" t="n">
        <x:v>0.0016362532475760864</x:v>
      </x:c>
      <x:c r="H20" s="13" t="n">
        <x:v>0.003914973742788604</x:v>
      </x:c>
      <x:c r="I20" s="13" t="n">
        <x:v>-0.0616412475781023</x:v>
      </x:c>
      <x:c r="J20" s="11" t="n">
        <x:v>11</x:v>
      </x:c>
      <x:c r="K20" s="11" t="n">
        <x:v>21</x:v>
      </x:c>
      <x:c r="L20" s="11" t="n">
        <x:v>102017</x:v>
      </x:c>
      <x:c r="M20" s="14" t="n">
        <x:v>160.55867478996515</x:v>
      </x:c>
      <x:c r="N20" s="2" t="str">
        <x:v>已完成</x:v>
      </x:c>
    </x:row>
    <x:row r="21" ht="23" customHeight="1">
      <x:c r="A21" s="2" t="str">
        <x:v>LSTM</x:v>
      </x:c>
      <x:c r="B21" s="11" t="n">
        <x:v>42</x:v>
      </x:c>
      <x:c r="C21" s="12" t="n">
        <x:v>0.001</x:v>
      </x:c>
      <x:c r="D21" s="13" t="n">
        <x:v>0.0032903481023039667</x:v>
      </x:c>
      <x:c r="E21" s="13" t="n">
        <x:v>0.007703900196250747</x:v>
      </x:c>
      <x:c r="F21" s="13" t="n">
        <x:v>0.0033292294838229626</x:v>
      </x:c>
      <x:c r="G21" s="13" t="n">
        <x:v>0.0023387402945869566</x:v>
      </x:c>
      <x:c r="H21" s="13" t="n">
        <x:v>0.005211844919320285</x:v>
      </x:c>
      <x:c r="I21" s="13" t="n">
        <x:v>-0.881494900671145</x:v>
      </x:c>
      <x:c r="J21" s="11" t="n">
        <x:v>53</x:v>
      </x:c>
      <x:c r="K21" s="11" t="n">
        <x:v>63</x:v>
      </x:c>
      <x:c r="L21" s="11" t="n">
        <x:v>21313</x:v>
      </x:c>
      <x:c r="M21" s="14" t="n">
        <x:v>79.2477447448764</x:v>
      </x:c>
      <x:c r="N21" s="2" t="str">
        <x:v>已完成</x:v>
      </x:c>
    </x:row>
    <x:row r="22" ht="23" customHeight="1">
      <x:c r="A22" s="2" t="str">
        <x:v>LSTM</x:v>
      </x:c>
      <x:c r="B22" s="11" t="n">
        <x:v>123</x:v>
      </x:c>
      <x:c r="C22" s="12" t="n">
        <x:v>0.001</x:v>
      </x:c>
      <x:c r="D22" s="13" t="n">
        <x:v>0.00374473448695887</x:v>
      </x:c>
      <x:c r="E22" s="13" t="n">
        <x:v>0.008170895317516115</x:v>
      </x:c>
      <x:c r="F22" s="13" t="n">
        <x:v>0.004235448455555562</x:v>
      </x:c>
      <x:c r="G22" s="13" t="n">
        <x:v>0.002975644607071181</x:v>
      </x:c>
      <x:c r="H22" s="13" t="n">
        <x:v>0.006328511933801715</x:v>
      </x:c>
      <x:c r="I22" s="13" t="n">
        <x:v>-1.7741074787692344</x:v>
      </x:c>
      <x:c r="J22" s="11" t="n">
        <x:v>30</x:v>
      </x:c>
      <x:c r="K22" s="11" t="n">
        <x:v>40</x:v>
      </x:c>
      <x:c r="L22" s="11" t="n">
        <x:v>21313</x:v>
      </x:c>
      <x:c r="M22" s="14" t="n">
        <x:v>48.74485568003729</x:v>
      </x:c>
      <x:c r="N22" s="2" t="str">
        <x:v>已完成</x:v>
      </x:c>
    </x:row>
    <x:row r="23" ht="23" customHeight="1">
      <x:c r="A23" s="2" t="str">
        <x:v>LSTM</x:v>
      </x:c>
      <x:c r="B23" s="11" t="n">
        <x:v>2024</x:v>
      </x:c>
      <x:c r="C23" s="12" t="n">
        <x:v>0.001</x:v>
      </x:c>
      <x:c r="D23" s="13" t="n">
        <x:v>0.003684539595592064</x:v>
      </x:c>
      <x:c r="E23" s="13" t="n">
        <x:v>0.00786495808527981</x:v>
      </x:c>
      <x:c r="F23" s="13" t="n">
        <x:v>0.0036887973816586064</x:v>
      </x:c>
      <x:c r="G23" s="13" t="n">
        <x:v>0.0025910939201006598</x:v>
      </x:c>
      <x:c r="H23" s="13" t="n">
        <x:v>0.005618567528654582</x:v>
      </x:c>
      <x:c r="I23" s="13" t="n">
        <x:v>-1.186609780207763</x:v>
      </x:c>
      <x:c r="J23" s="11" t="n">
        <x:v>39</x:v>
      </x:c>
      <x:c r="K23" s="11" t="n">
        <x:v>49</x:v>
      </x:c>
      <x:c r="L23" s="11" t="n">
        <x:v>21313</x:v>
      </x:c>
      <x:c r="M23" s="14" t="n">
        <x:v>65.71843407209963</x:v>
      </x:c>
      <x:c r="N23" s="2" t="str">
        <x:v>已完成</x:v>
      </x:c>
    </x:row>
    <x:row r="24" ht="23" customHeight="1">
      <x:c r="A24" s="2" t="str">
        <x:v>LSTM</x:v>
      </x:c>
      <x:c r="B24" s="11" t="n">
        <x:v>2025</x:v>
      </x:c>
      <x:c r="C24" s="12" t="n">
        <x:v>0.001</x:v>
      </x:c>
      <x:c r="D24" s="13" t="n">
        <x:v>0.003393470049911946</x:v>
      </x:c>
      <x:c r="E24" s="13" t="n">
        <x:v>0.00774089280658666</x:v>
      </x:c>
      <x:c r="F24" s="13" t="n">
        <x:v>0.004000800360538767</x:v>
      </x:c>
      <x:c r="G24" s="13" t="n">
        <x:v>0.0028109086794433015</x:v>
      </x:c>
      <x:c r="H24" s="13" t="n">
        <x:v>0.00579649479595874</x:v>
      </x:c>
      <x:c r="I24" s="13" t="n">
        <x:v>-1.3272925376519047</x:v>
      </x:c>
      <x:c r="J24" s="11" t="n">
        <x:v>41</x:v>
      </x:c>
      <x:c r="K24" s="11" t="n">
        <x:v>51</x:v>
      </x:c>
      <x:c r="L24" s="11" t="n">
        <x:v>21313</x:v>
      </x:c>
      <x:c r="M24" s="14" t="n">
        <x:v>61.82273410400376</x:v>
      </x:c>
      <x:c r="N24" s="2" t="str">
        <x:v>已完成</x:v>
      </x:c>
    </x:row>
    <x:row r="25" ht="23" customHeight="1">
      <x:c r="A25" s="2" t="str">
        <x:v>LSTM</x:v>
      </x:c>
      <x:c r="B25" s="11" t="n">
        <x:v>3407</x:v>
      </x:c>
      <x:c r="C25" s="12" t="n">
        <x:v>0.001</x:v>
      </x:c>
      <x:c r="D25" s="13" t="n">
        <x:v>0.0032604798984959215</x:v>
      </x:c>
      <x:c r="E25" s="13" t="n">
        <x:v>0.0076689964174008725</x:v>
      </x:c>
      <x:c r="F25" s="13" t="n">
        <x:v>0.002940084401800347</x:v>
      </x:c>
      <x:c r="G25" s="13" t="n">
        <x:v>0.0020652041459230035</x:v>
      </x:c>
      <x:c r="H25" s="13" t="n">
        <x:v>0.005012059195114348</x:v>
      </x:c>
      <x:c r="I25" s="13" t="n">
        <x:v>-0.7400128661367327</x:v>
      </x:c>
      <x:c r="J25" s="11" t="n">
        <x:v>47</x:v>
      </x:c>
      <x:c r="K25" s="11" t="n">
        <x:v>57</x:v>
      </x:c>
      <x:c r="L25" s="11" t="n">
        <x:v>21313</x:v>
      </x:c>
      <x:c r="M25" s="14" t="n">
        <x:v>77.88942126813345</x:v>
      </x:c>
      <x:c r="N25" s="2" t="str">
        <x:v>已完成</x:v>
      </x:c>
    </x:row>
    <x:row r="26" ht="23" customHeight="1">
      <x:c r="A26" s="2" t="str">
        <x:v>HPA</x:v>
      </x:c>
      <x:c r="B26" s="11" t="n">
        <x:v>42</x:v>
      </x:c>
      <x:c r="C26" s="12" t="n">
        <x:v>0.001</x:v>
      </x:c>
      <x:c r="D26" s="13" t="n">
        <x:v>0.004755517190701135</x:v>
      </x:c>
      <x:c r="E26" s="13" t="n">
        <x:v>0.008023734894389708</x:v>
      </x:c>
      <x:c r="F26" s="13" t="n">
        <x:v>0.005732516594214364</x:v>
      </x:c>
      <x:c r="G26" s="13" t="n">
        <x:v>0.004026327570204104</x:v>
      </x:c>
      <x:c r="H26" s="13" t="n">
        <x:v>0.008411747589757818</x:v>
      </x:c>
      <x:c r="I26" s="13" t="n">
        <x:v>-3.9010884597102695</x:v>
      </x:c>
      <x:c r="J26" s="11" t="n">
        <x:v>45</x:v>
      </x:c>
      <x:c r="K26" s="11" t="n">
        <x:v>55</x:v>
      </x:c>
      <x:c r="L26" s="11" t="n">
        <x:v>107929</x:v>
      </x:c>
      <x:c r="M26" s="14" t="n">
        <x:v>387.91676059016027</x:v>
      </x:c>
      <x:c r="N26" s="2" t="str">
        <x:v>已完成</x:v>
      </x:c>
    </x:row>
    <x:row r="27" ht="23" customHeight="1">
      <x:c r="A27" s="2" t="str">
        <x:v>HPA</x:v>
      </x:c>
      <x:c r="B27" s="11" t="n">
        <x:v>123</x:v>
      </x:c>
      <x:c r="C27" s="12" t="n">
        <x:v>0.001</x:v>
      </x:c>
      <x:c r="D27" s="13" t="n">
        <x:v>0.004951546124349944</x:v>
      </x:c>
      <x:c r="E27" s="13" t="n">
        <x:v>0.008073940906924362</x:v>
      </x:c>
      <x:c r="F27" s="13" t="n">
        <x:v>0.007375771360536575</x:v>
      </x:c>
      <x:c r="G27" s="13" t="n">
        <x:v>0.005180892312381817</x:v>
      </x:c>
      <x:c r="H27" s="13" t="n">
        <x:v>0.010477746077024933</x:v>
      </x:c>
      <x:c r="I27" s="13" t="n">
        <x:v>-6.60423999495343</x:v>
      </x:c>
      <x:c r="J27" s="11" t="n">
        <x:v>34</x:v>
      </x:c>
      <x:c r="K27" s="11" t="n">
        <x:v>44</x:v>
      </x:c>
      <x:c r="L27" s="11" t="n">
        <x:v>107929</x:v>
      </x:c>
      <x:c r="M27" s="14" t="n">
        <x:v>317.9932183129713</x:v>
      </x:c>
      <x:c r="N27" s="2" t="str">
        <x:v>已完成</x:v>
      </x:c>
    </x:row>
    <x:row r="28" ht="23" customHeight="1">
      <x:c r="A28" s="2" t="str">
        <x:v>HPA</x:v>
      </x:c>
      <x:c r="B28" s="11" t="n">
        <x:v>2024</x:v>
      </x:c>
      <x:c r="C28" s="12" t="n">
        <x:v>0.001</x:v>
      </x:c>
      <x:c r="D28" s="13" t="n">
        <x:v>0.004984040398071748</x:v>
      </x:c>
      <x:c r="E28" s="13" t="n">
        <x:v>0.008286131659428403</x:v>
      </x:c>
      <x:c r="F28" s="13" t="n">
        <x:v>0.007357220409330098</x:v>
      </x:c>
      <x:c r="G28" s="13" t="n">
        <x:v>0.005169107011163648</x:v>
      </x:c>
      <x:c r="H28" s="13" t="n">
        <x:v>0.009922605344357854</x:v>
      </x:c>
      <x:c r="I28" s="13" t="n">
        <x:v>-5.819798029104356</x:v>
      </x:c>
      <x:c r="J28" s="11" t="n">
        <x:v>23</x:v>
      </x:c>
      <x:c r="K28" s="11" t="n">
        <x:v>33</x:v>
      </x:c>
      <x:c r="L28" s="11" t="n">
        <x:v>107929</x:v>
      </x:c>
      <x:c r="M28" s="14" t="n">
        <x:v>240.80500038014725</x:v>
      </x:c>
      <x:c r="N28" s="2" t="str">
        <x:v>已完成</x:v>
      </x:c>
    </x:row>
    <x:row r="29" ht="23" customHeight="1">
      <x:c r="A29" s="2" t="str">
        <x:v>HPA</x:v>
      </x:c>
      <x:c r="B29" s="11" t="n">
        <x:v>2025</x:v>
      </x:c>
      <x:c r="C29" s="12" t="n">
        <x:v>0.001</x:v>
      </x:c>
      <x:c r="D29" s="13" t="n">
        <x:v>0.004603195750752592</x:v>
      </x:c>
      <x:c r="E29" s="13" t="n">
        <x:v>0.008338369699287546</x:v>
      </x:c>
      <x:c r="F29" s="13" t="n">
        <x:v>0.005064353264165162</x:v>
      </x:c>
      <x:c r="G29" s="13" t="n">
        <x:v>0.0035580120946397133</x:v>
      </x:c>
      <x:c r="H29" s="13" t="n">
        <x:v>0.007380187630862021</x:v>
      </x:c>
      <x:c r="I29" s="13" t="n">
        <x:v>-2.772722680793194</x:v>
      </x:c>
      <x:c r="J29" s="11" t="n">
        <x:v>23</x:v>
      </x:c>
      <x:c r="K29" s="11" t="n">
        <x:v>33</x:v>
      </x:c>
      <x:c r="L29" s="11" t="n">
        <x:v>107929</x:v>
      </x:c>
      <x:c r="M29" s="14" t="n">
        <x:v>237.55945769092068</x:v>
      </x:c>
      <x:c r="N29" s="2" t="str">
        <x:v>已完成</x:v>
      </x:c>
    </x:row>
    <x:row r="30" ht="23" customHeight="1">
      <x:c r="A30" s="2" t="str">
        <x:v>HPA</x:v>
      </x:c>
      <x:c r="B30" s="11" t="n">
        <x:v>3407</x:v>
      </x:c>
      <x:c r="C30" s="12" t="n">
        <x:v>0.001</x:v>
      </x:c>
      <x:c r="D30" s="13" t="n">
        <x:v>0.00523594494306217</x:v>
      </x:c>
      <x:c r="E30" s="13" t="n">
        <x:v>0.008476793707096985</x:v>
      </x:c>
      <x:c r="F30" s="13" t="n">
        <x:v>0.009223117207910067</x:v>
      </x:c>
      <x:c r="G30" s="13" t="n">
        <x:v>0.0064799174742141965</x:v>
      </x:c>
      <x:c r="H30" s="13" t="n">
        <x:v>0.011892454829610056</x:v>
      </x:c>
      <x:c r="I30" s="13" t="n">
        <x:v>-8.796323031779293</x:v>
      </x:c>
      <x:c r="J30" s="11" t="n">
        <x:v>19</x:v>
      </x:c>
      <x:c r="K30" s="11" t="n">
        <x:v>29</x:v>
      </x:c>
      <x:c r="L30" s="11" t="n">
        <x:v>107929</x:v>
      </x:c>
      <x:c r="M30" s="14" t="n">
        <x:v>212.35657942597754</x:v>
      </x:c>
      <x:c r="N30" s="2" t="str">
        <x:v>已完成</x:v>
      </x:c>
    </x:row>
    <x:row r="31" ht="23" customHeight="1">
      <x:c r="A31" s="2" t="str">
        <x:v>MLP</x:v>
      </x:c>
      <x:c r="B31" s="11" t="n">
        <x:v>42</x:v>
      </x:c>
      <x:c r="C31" s="12" t="n">
        <x:v>0.0001</x:v>
      </x:c>
      <x:c r="D31" s="13" t="n">
        <x:v>0.005089061705269295</x:v>
      </x:c>
      <x:c r="E31" s="13" t="n">
        <x:v>0.009087597678761153</x:v>
      </x:c>
      <x:c r="F31" s="13" t="n">
        <x:v>0.0070182959002145886</x:v>
      </x:c>
      <x:c r="G31" s="13" t="n">
        <x:v>0.004931347195287768</x:v>
      </x:c>
      <x:c r="H31" s="13" t="n">
        <x:v>0.011392125571579176</x:v>
      </x:c>
      <x:c r="I31" s="13" t="n">
        <x:v>-7.989377181378391</x:v>
      </x:c>
      <x:c r="J31" s="11" t="n">
        <x:v>69</x:v>
      </x:c>
      <x:c r="K31" s="11" t="n">
        <x:v>79</x:v>
      </x:c>
      <x:c r="L31" s="11" t="n">
        <x:v>17345</x:v>
      </x:c>
      <x:c r="M31" s="14" t="n">
        <x:v>79.71507074404508</x:v>
      </x:c>
      <x:c r="N31" s="2" t="str">
        <x:v>已完成</x:v>
      </x:c>
    </x:row>
    <x:row r="32" ht="23" customHeight="1">
      <x:c r="A32" s="2" t="str">
        <x:v>MLP</x:v>
      </x:c>
      <x:c r="B32" s="11" t="n">
        <x:v>123</x:v>
      </x:c>
      <x:c r="C32" s="12" t="n">
        <x:v>0.0001</x:v>
      </x:c>
      <x:c r="D32" s="13" t="n">
        <x:v>0.005328779455239149</x:v>
      </x:c>
      <x:c r="E32" s="13" t="n">
        <x:v>0.008530468859824303</x:v>
      </x:c>
      <x:c r="F32" s="13" t="n">
        <x:v>0.005343145213496282</x:v>
      </x:c>
      <x:c r="G32" s="13" t="n">
        <x:v>0.00375327851553594</x:v>
      </x:c>
      <x:c r="H32" s="13" t="n">
        <x:v>0.008811833474768315</x:v>
      </x:c>
      <x:c r="I32" s="13" t="n">
        <x:v>-4.3783943123101015</x:v>
      </x:c>
      <x:c r="J32" s="11" t="n">
        <x:v>61</x:v>
      </x:c>
      <x:c r="K32" s="11" t="n">
        <x:v>71</x:v>
      </x:c>
      <x:c r="L32" s="11" t="n">
        <x:v>17345</x:v>
      </x:c>
      <x:c r="M32" s="14" t="n">
        <x:v>75.08457893389277</x:v>
      </x:c>
      <x:c r="N32" s="2" t="str">
        <x:v>已完成</x:v>
      </x:c>
    </x:row>
    <x:row r="33" ht="23" customHeight="1">
      <x:c r="A33" s="2" t="str">
        <x:v>MLP</x:v>
      </x:c>
      <x:c r="B33" s="11" t="n">
        <x:v>2024</x:v>
      </x:c>
      <x:c r="C33" s="12" t="n">
        <x:v>0.0001</x:v>
      </x:c>
      <x:c r="D33" s="13" t="n">
        <x:v>0.005281408744502579</x:v>
      </x:c>
      <x:c r="E33" s="13" t="n">
        <x:v>0.009219806982852127</x:v>
      </x:c>
      <x:c r="F33" s="13" t="n">
        <x:v>0.005372291681153143</x:v>
      </x:c>
      <x:c r="G33" s="13" t="n">
        <x:v>0.003774126408828952</x:v>
      </x:c>
      <x:c r="H33" s="13" t="n">
        <x:v>0.008298008548441038</x:v>
      </x:c>
      <x:c r="I33" s="13" t="n">
        <x:v>-3.7694448593034666</x:v>
      </x:c>
      <x:c r="J33" s="11" t="n">
        <x:v>64</x:v>
      </x:c>
      <x:c r="K33" s="11" t="n">
        <x:v>74</x:v>
      </x:c>
      <x:c r="L33" s="11" t="n">
        <x:v>17345</x:v>
      </x:c>
      <x:c r="M33" s="14" t="n">
        <x:v>75.73066557198763</x:v>
      </x:c>
      <x:c r="N33" s="2" t="str">
        <x:v>已完成</x:v>
      </x:c>
    </x:row>
    <x:row r="34" ht="23" customHeight="1">
      <x:c r="A34" s="2" t="str">
        <x:v>MLP</x:v>
      </x:c>
      <x:c r="B34" s="11" t="n">
        <x:v>2025</x:v>
      </x:c>
      <x:c r="C34" s="12" t="n">
        <x:v>0.0001</x:v>
      </x:c>
      <x:c r="D34" s="13" t="n">
        <x:v>0.0050590924609894995</x:v>
      </x:c>
      <x:c r="E34" s="13" t="n">
        <x:v>0.008657528864059953</x:v>
      </x:c>
      <x:c r="F34" s="13" t="n">
        <x:v>0.00553000175699994</x:v>
      </x:c>
      <x:c r="G34" s="13" t="n">
        <x:v>0.003884589568412209</x:v>
      </x:c>
      <x:c r="H34" s="13" t="n">
        <x:v>0.009512643052446501</x:v>
      </x:c>
      <x:c r="I34" s="13" t="n">
        <x:v>-5.2679060473548</x:v>
      </x:c>
      <x:c r="J34" s="11" t="n">
        <x:v>73</x:v>
      </x:c>
      <x:c r="K34" s="11" t="n">
        <x:v>83</x:v>
      </x:c>
      <x:c r="L34" s="11" t="n">
        <x:v>17345</x:v>
      </x:c>
      <x:c r="M34" s="14" t="n">
        <x:v>85.83650835207663</x:v>
      </x:c>
      <x:c r="N34" s="2" t="str">
        <x:v>已完成</x:v>
      </x:c>
    </x:row>
    <x:row r="35" ht="23" customHeight="1">
      <x:c r="A35" s="2" t="str">
        <x:v>MLP</x:v>
      </x:c>
      <x:c r="B35" s="11" t="n">
        <x:v>3407</x:v>
      </x:c>
      <x:c r="C35" s="12" t="n">
        <x:v>0.0001</x:v>
      </x:c>
      <x:c r="D35" s="13" t="n">
        <x:v>0.005033845853319962</x:v>
      </x:c>
      <x:c r="E35" s="13" t="n">
        <x:v>0.008764418158854271</x:v>
      </x:c>
      <x:c r="F35" s="13" t="n">
        <x:v>0.00562558739997435</x:v>
      </x:c>
      <x:c r="G35" s="13" t="n">
        <x:v>0.003952162947348274</x:v>
      </x:c>
      <x:c r="H35" s="13" t="n">
        <x:v>0.010414325753948206</x:v>
      </x:c>
      <x:c r="I35" s="13" t="n">
        <x:v>-6.512463802331801</x:v>
      </x:c>
      <x:c r="J35" s="11" t="n">
        <x:v>55</x:v>
      </x:c>
      <x:c r="K35" s="11" t="n">
        <x:v>65</x:v>
      </x:c>
      <x:c r="L35" s="11" t="n">
        <x:v>17345</x:v>
      </x:c>
      <x:c r="M35" s="14" t="n">
        <x:v>63.55603673495352</x:v>
      </x:c>
      <x:c r="N35" s="2" t="str">
        <x:v>已完成</x:v>
      </x:c>
    </x:row>
    <x:row r="36" ht="23" customHeight="1">
      <x:c r="A36" s="2" t="str">
        <x:v>Informer</x:v>
      </x:c>
      <x:c r="B36" s="11" t="n">
        <x:v>42</x:v>
      </x:c>
      <x:c r="C36" s="12" t="n">
        <x:v>0.0003</x:v>
      </x:c>
      <x:c r="D36" s="13" t="n">
        <x:v>0.007337342803583185</x:v>
      </x:c>
      <x:c r="E36" s="13" t="n">
        <x:v>0.01100537468295793</x:v>
      </x:c>
      <x:c r="F36" s="13" t="n">
        <x:v>0.0072668536936811206</x:v>
      </x:c>
      <x:c r="G36" s="13" t="n">
        <x:v>0.005105709489043615</x:v>
      </x:c>
      <x:c r="H36" s="13" t="n">
        <x:v>0.010260108958518994</x:v>
      </x:c>
      <x:c r="I36" s="13" t="n">
        <x:v>-6.291619909165966</x:v>
      </x:c>
      <x:c r="J36" s="11" t="n">
        <x:v>59</x:v>
      </x:c>
      <x:c r="K36" s="11" t="n">
        <x:v>69</x:v>
      </x:c>
      <x:c r="L36" s="11" t="n">
        <x:v>138065</x:v>
      </x:c>
      <x:c r="M36" s="14" t="n">
        <x:v>579.5457053799182</x:v>
      </x:c>
      <x:c r="N36" s="2" t="str">
        <x:v>已完成</x:v>
      </x:c>
    </x:row>
    <x:row r="37" ht="23" customHeight="1">
      <x:c r="A37" s="2" t="str">
        <x:v>Informer</x:v>
      </x:c>
      <x:c r="B37" s="11" t="n">
        <x:v>123</x:v>
      </x:c>
      <x:c r="C37" s="12" t="n">
        <x:v>0.0003</x:v>
      </x:c>
      <x:c r="D37" s="13" t="n">
        <x:v>0.007100529904423869</x:v>
      </x:c>
      <x:c r="E37" s="13" t="n">
        <x:v>0.011360638851299933</x:v>
      </x:c>
      <x:c r="F37" s="13" t="n">
        <x:v>0.008084423349369024</x:v>
      </x:c>
      <x:c r="G37" s="13" t="n">
        <x:v>0.005680067608317841</x:v>
      </x:c>
      <x:c r="H37" s="13" t="n">
        <x:v>0.01089510277258426</x:v>
      </x:c>
      <x:c r="I37" s="13" t="n">
        <x:v>-7.222099704567949</x:v>
      </x:c>
      <x:c r="J37" s="11" t="n">
        <x:v>44</x:v>
      </x:c>
      <x:c r="K37" s="11" t="n">
        <x:v>54</x:v>
      </x:c>
      <x:c r="L37" s="11" t="n">
        <x:v>138065</x:v>
      </x:c>
      <x:c r="M37" s="14" t="n">
        <x:v>497.16715000593103</x:v>
      </x:c>
      <x:c r="N37" s="2" t="str">
        <x:v>已完成</x:v>
      </x:c>
    </x:row>
    <x:row r="38" ht="23" customHeight="1">
      <x:c r="A38" s="2" t="str">
        <x:v>Informer</x:v>
      </x:c>
      <x:c r="B38" s="11" t="n">
        <x:v>2024</x:v>
      </x:c>
      <x:c r="C38" s="12" t="n">
        <x:v>0.0003</x:v>
      </x:c>
      <x:c r="D38" s="13" t="n">
        <x:v>0.007999599304599543</x:v>
      </x:c>
      <x:c r="E38" s="13" t="n">
        <x:v>0.011818690904457117</x:v>
      </x:c>
      <x:c r="F38" s="13" t="n">
        <x:v>0.009263990511272921</x:v>
      </x:c>
      <x:c r="G38" s="13" t="n">
        <x:v>0.006507758773502991</x:v>
      </x:c>
      <x:c r="H38" s="13" t="n">
        <x:v>0.014457654454704087</x:v>
      </x:c>
      <x:c r="I38" s="13" t="n">
        <x:v>-13.478239541751533</x:v>
      </x:c>
      <x:c r="J38" s="11" t="n">
        <x:v>22</x:v>
      </x:c>
      <x:c r="K38" s="11" t="n">
        <x:v>32</x:v>
      </x:c>
      <x:c r="L38" s="11" t="n">
        <x:v>138065</x:v>
      </x:c>
      <x:c r="M38" s="14" t="n">
        <x:v>300.49606732302345</x:v>
      </x:c>
      <x:c r="N38" s="2" t="str">
        <x:v>已完成</x:v>
      </x:c>
    </x:row>
    <x:row r="39" ht="23" customHeight="1">
      <x:c r="A39" s="2" t="str">
        <x:v>Informer</x:v>
      </x:c>
      <x:c r="B39" s="11" t="n">
        <x:v>2025</x:v>
      </x:c>
      <x:c r="C39" s="12" t="n">
        <x:v>0.0003</x:v>
      </x:c>
      <x:c r="D39" s="13" t="n">
        <x:v>0.008272539967210626</x:v>
      </x:c>
      <x:c r="E39" s="13" t="n">
        <x:v>0.011919429054967528</x:v>
      </x:c>
      <x:c r="F39" s="13" t="n">
        <x:v>0.01030509949358138</x:v>
      </x:c>
      <x:c r="G39" s="13" t="n">
        <x:v>0.00724081159021536</x:v>
      </x:c>
      <x:c r="H39" s="13" t="n">
        <x:v>0.014633752755345076</x:v>
      </x:c>
      <x:c r="I39" s="13" t="n">
        <x:v>-13.833085588198365</x:v>
      </x:c>
      <x:c r="J39" s="11" t="n">
        <x:v>34</x:v>
      </x:c>
      <x:c r="K39" s="11" t="n">
        <x:v>44</x:v>
      </x:c>
      <x:c r="L39" s="11" t="n">
        <x:v>138065</x:v>
      </x:c>
      <x:c r="M39" s="14" t="n">
        <x:v>407.48714555287734</x:v>
      </x:c>
      <x:c r="N39" s="2" t="str">
        <x:v>已完成</x:v>
      </x:c>
    </x:row>
    <x:row r="40" ht="23" customHeight="1">
      <x:c r="A40" s="2" t="str">
        <x:v>Informer</x:v>
      </x:c>
      <x:c r="B40" s="11" t="n">
        <x:v>3407</x:v>
      </x:c>
      <x:c r="C40" s="12" t="n">
        <x:v>0.0003</x:v>
      </x:c>
      <x:c r="D40" s="13" t="n">
        <x:v>0.008426858945335555</x:v>
      </x:c>
      <x:c r="E40" s="13" t="n">
        <x:v>0.01208938966072468</x:v>
      </x:c>
      <x:c r="F40" s="13" t="n">
        <x:v>0.011013909328708316</x:v>
      </x:c>
      <x:c r="G40" s="13" t="n">
        <x:v>0.007737419626195723</x:v>
      </x:c>
      <x:c r="H40" s="13" t="n">
        <x:v>0.01456497747042561</x:v>
      </x:c>
      <x:c r="I40" s="13" t="n">
        <x:v>-13.69398901199045</x:v>
      </x:c>
      <x:c r="J40" s="11" t="n">
        <x:v>31</x:v>
      </x:c>
      <x:c r="K40" s="11" t="n">
        <x:v>41</x:v>
      </x:c>
      <x:c r="L40" s="11" t="n">
        <x:v>138065</x:v>
      </x:c>
      <x:c r="M40" s="14" t="n">
        <x:v>377.6433757308405</x:v>
      </x:c>
      <x:c r="N40" s="2" t="str">
        <x:v>已完成</x:v>
      </x:c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 t="str">
        <x:v>保持不变预测</x:v>
      </x:c>
      <x:c r="B42" s="2"/>
      <x:c r="C42" s="2"/>
      <x:c r="D42" s="9"/>
      <x:c r="E42" s="9"/>
      <x:c r="F42" s="9" t="n">
        <x:v>0.00228364187130847</x:v>
      </x:c>
      <x:c r="G42" s="9" t="n">
        <x:v>0.001604067391839162</x:v>
      </x:c>
      <x:c r="H42" s="9" t="n">
        <x:v>0.003799618222325539</x:v>
      </x:c>
      <x:c r="I42" s="9" t="n">
        <x:v>0</x:v>
      </x:c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 t="str">
        <x:v>确定性参考不运行5个随机种子，因此其标准差不填0。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 t="str">
        <x:v>训练耗时受云端并行资源竞争影响，不用于严格的模型效率排名。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pageMargins left="0.7" right="0.7" top="0.75" bottom="0.75" header="0.3" footer="0.3"/>
  <x:tableParts count="1">
    <x:tablePart xmlns:r="http://schemas.openxmlformats.org/officeDocument/2006/relationships" r:id="R7627da6b03e44fcc"/>
  </x:tableParts>
</x:worksheet>
</file>